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MZI\Downloads\"/>
    </mc:Choice>
  </mc:AlternateContent>
  <xr:revisionPtr revIDLastSave="0" documentId="8_{AFEDEF35-981B-45AF-8296-9B1355C251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3 SET " sheetId="1" r:id="rId1"/>
  </sheets>
  <definedNames>
    <definedName name="_xlnm.Print_Area" localSheetId="0">'TOTAL 3 SET 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3" i="1" l="1"/>
  <c r="Q119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N103" i="1"/>
  <c r="T102" i="1"/>
  <c r="N102" i="1"/>
  <c r="T101" i="1"/>
  <c r="T100" i="1"/>
  <c r="T99" i="1"/>
  <c r="T98" i="1"/>
  <c r="T97" i="1"/>
  <c r="T96" i="1"/>
  <c r="T95" i="1"/>
  <c r="T94" i="1"/>
  <c r="T93" i="1"/>
  <c r="N93" i="1"/>
  <c r="T92" i="1"/>
  <c r="N92" i="1"/>
  <c r="T91" i="1"/>
  <c r="N91" i="1"/>
  <c r="T90" i="1"/>
  <c r="N90" i="1"/>
  <c r="T89" i="1"/>
  <c r="T88" i="1"/>
  <c r="T87" i="1"/>
  <c r="N87" i="1"/>
  <c r="T86" i="1"/>
  <c r="N86" i="1"/>
  <c r="T85" i="1"/>
  <c r="N85" i="1"/>
  <c r="T84" i="1"/>
  <c r="N84" i="1"/>
  <c r="T83" i="1"/>
  <c r="N83" i="1"/>
  <c r="T82" i="1"/>
  <c r="N82" i="1"/>
  <c r="T81" i="1"/>
  <c r="N81" i="1"/>
  <c r="T80" i="1"/>
  <c r="N80" i="1"/>
  <c r="T79" i="1"/>
  <c r="N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N65" i="1"/>
  <c r="T64" i="1"/>
  <c r="N64" i="1"/>
  <c r="T63" i="1"/>
  <c r="T62" i="1"/>
  <c r="T61" i="1"/>
  <c r="T60" i="1"/>
  <c r="T59" i="1"/>
  <c r="T58" i="1"/>
  <c r="T57" i="1"/>
  <c r="T56" i="1"/>
  <c r="T55" i="1"/>
  <c r="N55" i="1"/>
  <c r="T54" i="1"/>
  <c r="N54" i="1"/>
  <c r="T53" i="1"/>
  <c r="N53" i="1"/>
  <c r="T52" i="1"/>
  <c r="N52" i="1"/>
  <c r="T51" i="1"/>
  <c r="T50" i="1"/>
  <c r="T49" i="1"/>
  <c r="N49" i="1"/>
  <c r="T48" i="1"/>
  <c r="N48" i="1"/>
  <c r="T47" i="1"/>
  <c r="N47" i="1"/>
  <c r="T46" i="1"/>
  <c r="N46" i="1"/>
  <c r="T45" i="1"/>
  <c r="N45" i="1"/>
  <c r="T44" i="1"/>
  <c r="N44" i="1"/>
  <c r="T43" i="1"/>
  <c r="N43" i="1"/>
  <c r="T42" i="1"/>
  <c r="N42" i="1"/>
  <c r="T41" i="1"/>
  <c r="N41" i="1"/>
  <c r="T40" i="1"/>
  <c r="T39" i="1" l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Q118" i="1" l="1"/>
  <c r="Q122" i="1" s="1"/>
  <c r="N26" i="1"/>
  <c r="N27" i="1"/>
  <c r="N11" i="1"/>
  <c r="N10" i="1"/>
  <c r="N9" i="1"/>
  <c r="N8" i="1"/>
  <c r="N7" i="1"/>
  <c r="N6" i="1"/>
  <c r="N17" i="1"/>
  <c r="N16" i="1"/>
  <c r="N15" i="1"/>
  <c r="N14" i="1" l="1"/>
  <c r="N5" i="1"/>
  <c r="N4" i="1"/>
  <c r="N3" i="1"/>
  <c r="Q117" i="1" s="1"/>
  <c r="Q121" i="1" s="1"/>
</calcChain>
</file>

<file path=xl/sharedStrings.xml><?xml version="1.0" encoding="utf-8"?>
<sst xmlns="http://schemas.openxmlformats.org/spreadsheetml/2006/main" count="251" uniqueCount="55">
  <si>
    <r>
      <t xml:space="preserve">Paket No/ </t>
    </r>
    <r>
      <rPr>
        <sz val="12"/>
        <color theme="1"/>
        <rFont val="Times New Roman"/>
        <family val="1"/>
        <charset val="162"/>
      </rPr>
      <t>Packet No</t>
    </r>
  </si>
  <si>
    <r>
      <t xml:space="preserve">Ambalaj Tanımı/ </t>
    </r>
    <r>
      <rPr>
        <sz val="12"/>
        <color theme="1"/>
        <rFont val="Times New Roman"/>
        <family val="1"/>
        <charset val="162"/>
      </rPr>
      <t>Package Description</t>
    </r>
  </si>
  <si>
    <r>
      <t xml:space="preserve">Miktar/ </t>
    </r>
    <r>
      <rPr>
        <sz val="12"/>
        <color theme="1"/>
        <rFont val="Times New Roman"/>
        <family val="1"/>
        <charset val="162"/>
      </rPr>
      <t>Quantity</t>
    </r>
  </si>
  <si>
    <r>
      <t xml:space="preserve">Boyutlar (mm)                                                         En x Boy x Yükseklik /                                            </t>
    </r>
    <r>
      <rPr>
        <sz val="12"/>
        <color theme="1"/>
        <rFont val="Times New Roman"/>
        <family val="1"/>
        <charset val="162"/>
      </rPr>
      <t>Dimensions (mm) Width x Length x Height</t>
    </r>
  </si>
  <si>
    <r>
      <t>Son Montaj/</t>
    </r>
    <r>
      <rPr>
        <sz val="12"/>
        <color theme="1"/>
        <rFont val="Times New Roman"/>
        <family val="1"/>
        <charset val="162"/>
      </rPr>
      <t>Final Assembly</t>
    </r>
  </si>
  <si>
    <r>
      <t>Kalite/</t>
    </r>
    <r>
      <rPr>
        <sz val="12"/>
        <color theme="1"/>
        <rFont val="Times New Roman"/>
        <family val="1"/>
        <charset val="162"/>
      </rPr>
      <t>Quality</t>
    </r>
  </si>
  <si>
    <r>
      <t>Sevkiyat/</t>
    </r>
    <r>
      <rPr>
        <sz val="12"/>
        <color theme="1"/>
        <rFont val="Times New Roman"/>
        <family val="1"/>
        <charset val="162"/>
      </rPr>
      <t>Shipment</t>
    </r>
  </si>
  <si>
    <r>
      <t xml:space="preserve">Araç No/ </t>
    </r>
    <r>
      <rPr>
        <sz val="12"/>
        <color theme="1"/>
        <rFont val="Times New Roman"/>
        <family val="1"/>
        <charset val="162"/>
      </rPr>
      <t>Vehicle No</t>
    </r>
  </si>
  <si>
    <r>
      <t xml:space="preserve">Net Ağırlık/           </t>
    </r>
    <r>
      <rPr>
        <sz val="12"/>
        <color theme="1"/>
        <rFont val="Times New Roman"/>
        <family val="1"/>
        <charset val="162"/>
      </rPr>
      <t>Net Weight</t>
    </r>
    <r>
      <rPr>
        <b/>
        <sz val="12"/>
        <color theme="1"/>
        <rFont val="Times New Roman"/>
        <family val="1"/>
        <charset val="162"/>
      </rPr>
      <t xml:space="preserve"> </t>
    </r>
    <r>
      <rPr>
        <sz val="12"/>
        <color theme="1"/>
        <rFont val="Times New Roman"/>
        <family val="1"/>
        <charset val="162"/>
      </rPr>
      <t>(kg)</t>
    </r>
    <r>
      <rPr>
        <b/>
        <sz val="12"/>
        <color theme="1"/>
        <rFont val="Times New Roman"/>
        <family val="1"/>
        <charset val="162"/>
      </rPr>
      <t xml:space="preserve"> (± %3)</t>
    </r>
  </si>
  <si>
    <r>
      <t xml:space="preserve">Brüt Ağırlık/ </t>
    </r>
    <r>
      <rPr>
        <sz val="12"/>
        <color theme="1"/>
        <rFont val="Times New Roman"/>
        <family val="1"/>
        <charset val="162"/>
      </rPr>
      <t>Gross Weight</t>
    </r>
    <r>
      <rPr>
        <b/>
        <sz val="12"/>
        <color theme="1"/>
        <rFont val="Times New Roman"/>
        <family val="1"/>
        <charset val="162"/>
      </rPr>
      <t xml:space="preserve"> </t>
    </r>
    <r>
      <rPr>
        <sz val="12"/>
        <color theme="1"/>
        <rFont val="Times New Roman"/>
        <family val="1"/>
        <charset val="162"/>
      </rPr>
      <t>(kg)</t>
    </r>
    <r>
      <rPr>
        <b/>
        <sz val="12"/>
        <color theme="1"/>
        <rFont val="Times New Roman"/>
        <family val="1"/>
        <charset val="162"/>
      </rPr>
      <t xml:space="preserve"> (± %3)</t>
    </r>
  </si>
  <si>
    <t>CONSERVATOR PACKAGE</t>
  </si>
  <si>
    <t>CONSERVATOR SUPPORT PACKAGE</t>
  </si>
  <si>
    <t>PIPELINE PACKAGE</t>
  </si>
  <si>
    <t>LADDER PACKAGE</t>
  </si>
  <si>
    <t>MATERIAL CASE</t>
  </si>
  <si>
    <t>630 x 1000 x 550</t>
  </si>
  <si>
    <t>1100 x 1100 x 1100</t>
  </si>
  <si>
    <t>705 x 2240 x 775</t>
  </si>
  <si>
    <t>OIL BARREL PACKAGE      (INCLUDES 4 PCS. BARREL)        SHELL DIALA S4</t>
  </si>
  <si>
    <t>MATERIAL CASE (SPARE)</t>
  </si>
  <si>
    <t>2470 x 5420 x 3715</t>
  </si>
  <si>
    <t>1640 x 3310 x 2200</t>
  </si>
  <si>
    <t>1940 x 2710 x 690</t>
  </si>
  <si>
    <t>FAN PACKAGE (INCLUDES 7 PCS.)</t>
  </si>
  <si>
    <t>RADIATOR PACKAGE ( 1800 x 520 x 20 ) 2 PCS.</t>
  </si>
  <si>
    <t>HV TURRET PACKAGE</t>
  </si>
  <si>
    <t>HV-N TURRET PACKAGE</t>
  </si>
  <si>
    <t>1220 x 1140 x 1160</t>
  </si>
  <si>
    <t>HV BUSHING PACKAGE (INCLUDES 1 PCS.)</t>
  </si>
  <si>
    <t>690 x 4020 x 620</t>
  </si>
  <si>
    <t>HV-N BUSHING PACKAGE (INCLUDES 1 PCS.)</t>
  </si>
  <si>
    <t>800 x 2290 x 590</t>
  </si>
  <si>
    <t>HV BUSHING PACKAGE (INCLUDES 1 PCS.) (SPARE)</t>
  </si>
  <si>
    <t>LV BUSHING PACKAGE (INCLUDES 3 PCS.) (SPARE)</t>
  </si>
  <si>
    <t>1086 x 1510 x 453</t>
  </si>
  <si>
    <t>WHEEL PACKAGE</t>
  </si>
  <si>
    <t>1180 x 3610 x 1210</t>
  </si>
  <si>
    <t>1940 x 3490 x 1470</t>
  </si>
  <si>
    <t>915 x 940 x 575</t>
  </si>
  <si>
    <t>1540 x 2250 x 1330</t>
  </si>
  <si>
    <t>OIL BARREL PACKAGE      (INCLUDES 4 PCS. BARREL)        SHELL DIALA S4 (SPARE)</t>
  </si>
  <si>
    <t>~61000</t>
  </si>
  <si>
    <t>MAIN BODY (WITH OIL)</t>
  </si>
  <si>
    <t>2100 x 1645 x 2450</t>
  </si>
  <si>
    <t>1000kVA yardımcı servis trafosu</t>
  </si>
  <si>
    <t>L</t>
  </si>
  <si>
    <t>W</t>
  </si>
  <si>
    <t>H</t>
  </si>
  <si>
    <t>CBM</t>
  </si>
  <si>
    <t>1 SET CBM</t>
  </si>
  <si>
    <t>1 SET GW</t>
  </si>
  <si>
    <t>1 SET PKG</t>
  </si>
  <si>
    <t>3 SET TOTAL PKG</t>
  </si>
  <si>
    <t>3 SET TOTAL GW</t>
  </si>
  <si>
    <t>3 SET TOTAL 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</si>
</sst>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4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/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Protection="1">
      <protection locked="0"/>
    </xf>
    <xf numFmtId="0" fontId="2" fillId="4" borderId="3" xfId="0" applyFont="1" applyFill="1" applyBorder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0" xfId="0" applyFont="1" applyFill="1"/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Protection="1">
      <protection locked="0"/>
    </xf>
    <xf numFmtId="0" fontId="2" fillId="5" borderId="3" xfId="0" applyFont="1" applyFill="1" applyBorder="1" applyProtection="1"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0" xfId="0" applyFont="1" applyFill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0" fontId="2" fillId="5" borderId="3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left" vertical="center"/>
      <protection locked="0"/>
    </xf>
    <xf numFmtId="0" fontId="2" fillId="3" borderId="3" xfId="0" applyFont="1" applyFill="1" applyBorder="1" applyAlignment="1" applyProtection="1">
      <alignment horizontal="left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3"/>
  <sheetViews>
    <sheetView tabSelected="1" zoomScale="85" zoomScaleNormal="85" workbookViewId="0">
      <selection activeCell="B79" sqref="B79:F79"/>
    </sheetView>
  </sheetViews>
  <sheetFormatPr baseColWidth="10" defaultColWidth="8.85546875" defaultRowHeight="15" x14ac:dyDescent="0.25"/>
  <cols>
    <col min="1" max="1" width="12.7109375" style="1" customWidth="1"/>
    <col min="2" max="4" width="30.7109375" style="1" customWidth="1"/>
    <col min="5" max="5" width="10.7109375" style="1" customWidth="1"/>
    <col min="6" max="6" width="5.7109375" style="1" customWidth="1"/>
    <col min="7" max="7" width="12.28515625" style="1" customWidth="1"/>
    <col min="8" max="8" width="10.5703125" style="1" customWidth="1"/>
    <col min="9" max="9" width="12.5703125" style="1" customWidth="1"/>
    <col min="10" max="10" width="15.85546875" style="1" customWidth="1"/>
    <col min="11" max="11" width="30.7109375" style="1" customWidth="1"/>
    <col min="12" max="12" width="8.7109375" style="1" customWidth="1"/>
    <col min="13" max="13" width="7.7109375" style="1" customWidth="1"/>
    <col min="14" max="14" width="10.7109375" style="1" customWidth="1"/>
    <col min="15" max="15" width="5.7109375" style="1" customWidth="1"/>
    <col min="16" max="16" width="45.7109375" style="1" customWidth="1"/>
    <col min="17" max="16384" width="8.85546875" style="1"/>
  </cols>
  <sheetData>
    <row r="1" spans="1:20" ht="161.44999999999999" customHeight="1" x14ac:dyDescent="0.25">
      <c r="A1" s="3" t="s">
        <v>0</v>
      </c>
      <c r="B1" s="53" t="s">
        <v>1</v>
      </c>
      <c r="C1" s="54"/>
      <c r="D1" s="54"/>
      <c r="E1" s="54"/>
      <c r="F1" s="55"/>
      <c r="G1" s="9" t="s">
        <v>4</v>
      </c>
      <c r="H1" s="9" t="s">
        <v>5</v>
      </c>
      <c r="I1" s="9" t="s">
        <v>6</v>
      </c>
      <c r="J1" s="3" t="s">
        <v>7</v>
      </c>
      <c r="K1" s="2" t="s">
        <v>2</v>
      </c>
      <c r="L1" s="51" t="s">
        <v>8</v>
      </c>
      <c r="M1" s="52"/>
      <c r="N1" s="51" t="s">
        <v>9</v>
      </c>
      <c r="O1" s="52"/>
      <c r="P1" s="3" t="s">
        <v>3</v>
      </c>
      <c r="Q1" s="12" t="s">
        <v>45</v>
      </c>
      <c r="R1" s="12" t="s">
        <v>46</v>
      </c>
      <c r="S1" s="12" t="s">
        <v>47</v>
      </c>
      <c r="T1" s="12" t="s">
        <v>48</v>
      </c>
    </row>
    <row r="2" spans="1:20" s="43" customFormat="1" ht="15.75" x14ac:dyDescent="0.25">
      <c r="A2" s="36">
        <v>1</v>
      </c>
      <c r="B2" s="58" t="s">
        <v>42</v>
      </c>
      <c r="C2" s="59"/>
      <c r="D2" s="59"/>
      <c r="E2" s="59"/>
      <c r="F2" s="59"/>
      <c r="G2" s="37"/>
      <c r="H2" s="37"/>
      <c r="I2" s="38"/>
      <c r="J2" s="39"/>
      <c r="K2" s="39">
        <v>1</v>
      </c>
      <c r="L2" s="56" t="s">
        <v>41</v>
      </c>
      <c r="M2" s="57"/>
      <c r="N2" s="56">
        <v>61000</v>
      </c>
      <c r="O2" s="57"/>
      <c r="P2" s="40" t="s">
        <v>20</v>
      </c>
      <c r="Q2" s="41">
        <v>5420</v>
      </c>
      <c r="R2" s="41">
        <v>2470</v>
      </c>
      <c r="S2" s="41">
        <v>3715</v>
      </c>
      <c r="T2" s="42">
        <f>Q2*R2*S2/1000000000</f>
        <v>49.734191000000003</v>
      </c>
    </row>
    <row r="3" spans="1:20" ht="15.75" x14ac:dyDescent="0.25">
      <c r="A3" s="4">
        <v>2</v>
      </c>
      <c r="B3" s="46" t="s">
        <v>10</v>
      </c>
      <c r="C3" s="47"/>
      <c r="D3" s="47"/>
      <c r="E3" s="47"/>
      <c r="F3" s="47"/>
      <c r="G3" s="6"/>
      <c r="H3" s="6"/>
      <c r="I3" s="7"/>
      <c r="J3" s="5"/>
      <c r="K3" s="5">
        <v>1</v>
      </c>
      <c r="L3" s="48">
        <v>798</v>
      </c>
      <c r="M3" s="49"/>
      <c r="N3" s="48">
        <f>L3+792</f>
        <v>1590</v>
      </c>
      <c r="O3" s="49"/>
      <c r="P3" s="10" t="s">
        <v>21</v>
      </c>
      <c r="Q3" s="12">
        <v>3310</v>
      </c>
      <c r="R3" s="12">
        <v>1640</v>
      </c>
      <c r="S3" s="12">
        <v>2200</v>
      </c>
      <c r="T3" s="13">
        <f t="shared" ref="T3:T39" si="0">Q3*R3*S3/1000000000</f>
        <v>11.94248</v>
      </c>
    </row>
    <row r="4" spans="1:20" ht="15.75" x14ac:dyDescent="0.25">
      <c r="A4" s="4">
        <v>3</v>
      </c>
      <c r="B4" s="46" t="s">
        <v>11</v>
      </c>
      <c r="C4" s="47"/>
      <c r="D4" s="47"/>
      <c r="E4" s="47"/>
      <c r="F4" s="47"/>
      <c r="G4" s="6"/>
      <c r="H4" s="6"/>
      <c r="I4" s="7"/>
      <c r="J4" s="5"/>
      <c r="K4" s="5">
        <v>1</v>
      </c>
      <c r="L4" s="48">
        <v>705</v>
      </c>
      <c r="M4" s="49"/>
      <c r="N4" s="48">
        <f>L4+340</f>
        <v>1045</v>
      </c>
      <c r="O4" s="49"/>
      <c r="P4" s="10" t="s">
        <v>22</v>
      </c>
      <c r="Q4" s="12">
        <v>2710</v>
      </c>
      <c r="R4" s="12">
        <v>1940</v>
      </c>
      <c r="S4" s="12">
        <v>690</v>
      </c>
      <c r="T4" s="13">
        <f t="shared" si="0"/>
        <v>3.6276060000000001</v>
      </c>
    </row>
    <row r="5" spans="1:20" ht="15.75" x14ac:dyDescent="0.25">
      <c r="A5" s="4">
        <v>4</v>
      </c>
      <c r="B5" s="46" t="s">
        <v>24</v>
      </c>
      <c r="C5" s="47"/>
      <c r="D5" s="47"/>
      <c r="E5" s="47"/>
      <c r="F5" s="47"/>
      <c r="G5" s="6"/>
      <c r="H5" s="6"/>
      <c r="I5" s="7"/>
      <c r="J5" s="5"/>
      <c r="K5" s="5">
        <v>1</v>
      </c>
      <c r="L5" s="48">
        <v>646</v>
      </c>
      <c r="M5" s="49"/>
      <c r="N5" s="48">
        <f t="shared" ref="N5:N11" si="1">L5+388</f>
        <v>1034</v>
      </c>
      <c r="O5" s="49"/>
      <c r="P5" s="10" t="s">
        <v>39</v>
      </c>
      <c r="Q5" s="12">
        <v>2250</v>
      </c>
      <c r="R5" s="12">
        <v>1540</v>
      </c>
      <c r="S5" s="12">
        <v>1330</v>
      </c>
      <c r="T5" s="13">
        <f t="shared" si="0"/>
        <v>4.6084500000000004</v>
      </c>
    </row>
    <row r="6" spans="1:20" ht="15.75" x14ac:dyDescent="0.25">
      <c r="A6" s="4">
        <v>5</v>
      </c>
      <c r="B6" s="46" t="s">
        <v>24</v>
      </c>
      <c r="C6" s="47"/>
      <c r="D6" s="47"/>
      <c r="E6" s="47"/>
      <c r="F6" s="47"/>
      <c r="G6" s="6"/>
      <c r="H6" s="6"/>
      <c r="I6" s="7"/>
      <c r="J6" s="5"/>
      <c r="K6" s="5">
        <v>1</v>
      </c>
      <c r="L6" s="48">
        <v>646</v>
      </c>
      <c r="M6" s="49"/>
      <c r="N6" s="48">
        <f t="shared" si="1"/>
        <v>1034</v>
      </c>
      <c r="O6" s="49"/>
      <c r="P6" s="10" t="s">
        <v>39</v>
      </c>
      <c r="Q6" s="12">
        <v>2250</v>
      </c>
      <c r="R6" s="12">
        <v>1540</v>
      </c>
      <c r="S6" s="12">
        <v>1330</v>
      </c>
      <c r="T6" s="13">
        <f t="shared" si="0"/>
        <v>4.6084500000000004</v>
      </c>
    </row>
    <row r="7" spans="1:20" ht="15.75" x14ac:dyDescent="0.25">
      <c r="A7" s="4">
        <v>6</v>
      </c>
      <c r="B7" s="46" t="s">
        <v>24</v>
      </c>
      <c r="C7" s="47"/>
      <c r="D7" s="47"/>
      <c r="E7" s="47"/>
      <c r="F7" s="47"/>
      <c r="G7" s="6"/>
      <c r="H7" s="6"/>
      <c r="I7" s="7"/>
      <c r="J7" s="5"/>
      <c r="K7" s="5">
        <v>1</v>
      </c>
      <c r="L7" s="48">
        <v>646</v>
      </c>
      <c r="M7" s="49"/>
      <c r="N7" s="48">
        <f t="shared" si="1"/>
        <v>1034</v>
      </c>
      <c r="O7" s="49"/>
      <c r="P7" s="10" t="s">
        <v>39</v>
      </c>
      <c r="Q7" s="12">
        <v>2250</v>
      </c>
      <c r="R7" s="12">
        <v>1540</v>
      </c>
      <c r="S7" s="12">
        <v>1330</v>
      </c>
      <c r="T7" s="13">
        <f t="shared" si="0"/>
        <v>4.6084500000000004</v>
      </c>
    </row>
    <row r="8" spans="1:20" ht="15.75" x14ac:dyDescent="0.25">
      <c r="A8" s="4">
        <v>7</v>
      </c>
      <c r="B8" s="46" t="s">
        <v>24</v>
      </c>
      <c r="C8" s="47"/>
      <c r="D8" s="47"/>
      <c r="E8" s="47"/>
      <c r="F8" s="47"/>
      <c r="G8" s="6"/>
      <c r="H8" s="6"/>
      <c r="I8" s="7"/>
      <c r="J8" s="5"/>
      <c r="K8" s="5">
        <v>1</v>
      </c>
      <c r="L8" s="48">
        <v>646</v>
      </c>
      <c r="M8" s="49"/>
      <c r="N8" s="48">
        <f t="shared" si="1"/>
        <v>1034</v>
      </c>
      <c r="O8" s="49"/>
      <c r="P8" s="10" t="s">
        <v>39</v>
      </c>
      <c r="Q8" s="12">
        <v>2250</v>
      </c>
      <c r="R8" s="12">
        <v>1540</v>
      </c>
      <c r="S8" s="12">
        <v>1330</v>
      </c>
      <c r="T8" s="13">
        <f t="shared" si="0"/>
        <v>4.6084500000000004</v>
      </c>
    </row>
    <row r="9" spans="1:20" ht="15.75" x14ac:dyDescent="0.25">
      <c r="A9" s="4">
        <v>8</v>
      </c>
      <c r="B9" s="46" t="s">
        <v>24</v>
      </c>
      <c r="C9" s="47"/>
      <c r="D9" s="47"/>
      <c r="E9" s="47"/>
      <c r="F9" s="47"/>
      <c r="G9" s="6"/>
      <c r="H9" s="6"/>
      <c r="I9" s="7"/>
      <c r="J9" s="5"/>
      <c r="K9" s="5">
        <v>1</v>
      </c>
      <c r="L9" s="48">
        <v>646</v>
      </c>
      <c r="M9" s="49"/>
      <c r="N9" s="48">
        <f t="shared" si="1"/>
        <v>1034</v>
      </c>
      <c r="O9" s="49"/>
      <c r="P9" s="10" t="s">
        <v>39</v>
      </c>
      <c r="Q9" s="12">
        <v>2250</v>
      </c>
      <c r="R9" s="12">
        <v>1540</v>
      </c>
      <c r="S9" s="12">
        <v>1330</v>
      </c>
      <c r="T9" s="13">
        <f t="shared" si="0"/>
        <v>4.6084500000000004</v>
      </c>
    </row>
    <row r="10" spans="1:20" ht="15.75" x14ac:dyDescent="0.25">
      <c r="A10" s="4">
        <v>9</v>
      </c>
      <c r="B10" s="46" t="s">
        <v>24</v>
      </c>
      <c r="C10" s="47"/>
      <c r="D10" s="47"/>
      <c r="E10" s="47"/>
      <c r="F10" s="47"/>
      <c r="G10" s="6"/>
      <c r="H10" s="6"/>
      <c r="I10" s="7"/>
      <c r="J10" s="5"/>
      <c r="K10" s="5">
        <v>1</v>
      </c>
      <c r="L10" s="48">
        <v>646</v>
      </c>
      <c r="M10" s="49"/>
      <c r="N10" s="48">
        <f t="shared" si="1"/>
        <v>1034</v>
      </c>
      <c r="O10" s="49"/>
      <c r="P10" s="10" t="s">
        <v>39</v>
      </c>
      <c r="Q10" s="12">
        <v>2250</v>
      </c>
      <c r="R10" s="12">
        <v>1540</v>
      </c>
      <c r="S10" s="12">
        <v>1330</v>
      </c>
      <c r="T10" s="13">
        <f t="shared" si="0"/>
        <v>4.6084500000000004</v>
      </c>
    </row>
    <row r="11" spans="1:20" ht="15.75" x14ac:dyDescent="0.25">
      <c r="A11" s="4">
        <v>10</v>
      </c>
      <c r="B11" s="46" t="s">
        <v>24</v>
      </c>
      <c r="C11" s="47"/>
      <c r="D11" s="47"/>
      <c r="E11" s="47"/>
      <c r="F11" s="47"/>
      <c r="G11" s="6"/>
      <c r="H11" s="6"/>
      <c r="I11" s="7"/>
      <c r="J11" s="5"/>
      <c r="K11" s="5">
        <v>1</v>
      </c>
      <c r="L11" s="48">
        <v>646</v>
      </c>
      <c r="M11" s="49"/>
      <c r="N11" s="48">
        <f t="shared" si="1"/>
        <v>1034</v>
      </c>
      <c r="O11" s="49"/>
      <c r="P11" s="10" t="s">
        <v>39</v>
      </c>
      <c r="Q11" s="12">
        <v>2250</v>
      </c>
      <c r="R11" s="12">
        <v>1540</v>
      </c>
      <c r="S11" s="12">
        <v>1330</v>
      </c>
      <c r="T11" s="13">
        <f t="shared" si="0"/>
        <v>4.6084500000000004</v>
      </c>
    </row>
    <row r="12" spans="1:20" ht="15.75" x14ac:dyDescent="0.25">
      <c r="A12" s="4">
        <v>11</v>
      </c>
      <c r="B12" s="46" t="s">
        <v>23</v>
      </c>
      <c r="C12" s="47"/>
      <c r="D12" s="47"/>
      <c r="E12" s="47"/>
      <c r="F12" s="47"/>
      <c r="G12" s="6"/>
      <c r="H12" s="6"/>
      <c r="I12" s="7"/>
      <c r="J12" s="5"/>
      <c r="K12" s="5">
        <v>1</v>
      </c>
      <c r="L12" s="48">
        <v>175</v>
      </c>
      <c r="M12" s="49"/>
      <c r="N12" s="48">
        <v>275</v>
      </c>
      <c r="O12" s="49"/>
      <c r="P12" s="10" t="s">
        <v>17</v>
      </c>
      <c r="Q12" s="12">
        <v>2240</v>
      </c>
      <c r="R12" s="12">
        <v>705</v>
      </c>
      <c r="S12" s="12">
        <v>775</v>
      </c>
      <c r="T12" s="13">
        <f t="shared" si="0"/>
        <v>1.2238800000000001</v>
      </c>
    </row>
    <row r="13" spans="1:20" ht="15.75" x14ac:dyDescent="0.25">
      <c r="A13" s="4">
        <v>12</v>
      </c>
      <c r="B13" s="46" t="s">
        <v>23</v>
      </c>
      <c r="C13" s="47"/>
      <c r="D13" s="47"/>
      <c r="E13" s="47"/>
      <c r="F13" s="47"/>
      <c r="G13" s="6"/>
      <c r="H13" s="6"/>
      <c r="I13" s="7"/>
      <c r="J13" s="5"/>
      <c r="K13" s="5">
        <v>1</v>
      </c>
      <c r="L13" s="48">
        <v>175</v>
      </c>
      <c r="M13" s="49"/>
      <c r="N13" s="48">
        <v>275</v>
      </c>
      <c r="O13" s="49"/>
      <c r="P13" s="10" t="s">
        <v>17</v>
      </c>
      <c r="Q13" s="12">
        <v>2240</v>
      </c>
      <c r="R13" s="12">
        <v>705</v>
      </c>
      <c r="S13" s="12">
        <v>775</v>
      </c>
      <c r="T13" s="13">
        <f t="shared" si="0"/>
        <v>1.2238800000000001</v>
      </c>
    </row>
    <row r="14" spans="1:20" ht="15.75" x14ac:dyDescent="0.25">
      <c r="A14" s="4">
        <v>13</v>
      </c>
      <c r="B14" s="46" t="s">
        <v>25</v>
      </c>
      <c r="C14" s="47"/>
      <c r="D14" s="47"/>
      <c r="E14" s="47"/>
      <c r="F14" s="47"/>
      <c r="G14" s="6"/>
      <c r="H14" s="6"/>
      <c r="I14" s="7"/>
      <c r="J14" s="5"/>
      <c r="K14" s="5">
        <v>1</v>
      </c>
      <c r="L14" s="48">
        <v>135</v>
      </c>
      <c r="M14" s="49"/>
      <c r="N14" s="48">
        <f>L14+172</f>
        <v>307</v>
      </c>
      <c r="O14" s="49"/>
      <c r="P14" s="10" t="s">
        <v>27</v>
      </c>
      <c r="Q14" s="12">
        <v>1140</v>
      </c>
      <c r="R14" s="12">
        <v>1220</v>
      </c>
      <c r="S14" s="12">
        <v>1160</v>
      </c>
      <c r="T14" s="13">
        <f t="shared" si="0"/>
        <v>1.6133280000000001</v>
      </c>
    </row>
    <row r="15" spans="1:20" ht="15.75" x14ac:dyDescent="0.25">
      <c r="A15" s="4">
        <v>14</v>
      </c>
      <c r="B15" s="46" t="s">
        <v>25</v>
      </c>
      <c r="C15" s="47"/>
      <c r="D15" s="47"/>
      <c r="E15" s="47"/>
      <c r="F15" s="47"/>
      <c r="G15" s="6"/>
      <c r="H15" s="6"/>
      <c r="I15" s="7"/>
      <c r="J15" s="5"/>
      <c r="K15" s="5">
        <v>1</v>
      </c>
      <c r="L15" s="48">
        <v>135</v>
      </c>
      <c r="M15" s="49"/>
      <c r="N15" s="48">
        <f>L15+172</f>
        <v>307</v>
      </c>
      <c r="O15" s="49"/>
      <c r="P15" s="10" t="s">
        <v>27</v>
      </c>
      <c r="Q15" s="12">
        <v>1140</v>
      </c>
      <c r="R15" s="12">
        <v>1220</v>
      </c>
      <c r="S15" s="12">
        <v>1160</v>
      </c>
      <c r="T15" s="13">
        <f t="shared" si="0"/>
        <v>1.6133280000000001</v>
      </c>
    </row>
    <row r="16" spans="1:20" ht="15.75" x14ac:dyDescent="0.25">
      <c r="A16" s="4">
        <v>15</v>
      </c>
      <c r="B16" s="46" t="s">
        <v>25</v>
      </c>
      <c r="C16" s="47"/>
      <c r="D16" s="47"/>
      <c r="E16" s="47"/>
      <c r="F16" s="47"/>
      <c r="G16" s="6"/>
      <c r="H16" s="6"/>
      <c r="I16" s="7"/>
      <c r="J16" s="5"/>
      <c r="K16" s="5">
        <v>1</v>
      </c>
      <c r="L16" s="48">
        <v>135</v>
      </c>
      <c r="M16" s="49"/>
      <c r="N16" s="48">
        <f>L16+172</f>
        <v>307</v>
      </c>
      <c r="O16" s="49"/>
      <c r="P16" s="10" t="s">
        <v>27</v>
      </c>
      <c r="Q16" s="12">
        <v>1140</v>
      </c>
      <c r="R16" s="12">
        <v>1220</v>
      </c>
      <c r="S16" s="12">
        <v>1160</v>
      </c>
      <c r="T16" s="13">
        <f t="shared" si="0"/>
        <v>1.6133280000000001</v>
      </c>
    </row>
    <row r="17" spans="1:20" ht="15.75" x14ac:dyDescent="0.25">
      <c r="A17" s="4">
        <v>16</v>
      </c>
      <c r="B17" s="46" t="s">
        <v>26</v>
      </c>
      <c r="C17" s="47"/>
      <c r="D17" s="47"/>
      <c r="E17" s="47"/>
      <c r="F17" s="47"/>
      <c r="G17" s="6"/>
      <c r="H17" s="6"/>
      <c r="I17" s="7"/>
      <c r="J17" s="5"/>
      <c r="K17" s="5">
        <v>1</v>
      </c>
      <c r="L17" s="48">
        <v>85</v>
      </c>
      <c r="M17" s="49"/>
      <c r="N17" s="48">
        <f>L17+172</f>
        <v>257</v>
      </c>
      <c r="O17" s="49"/>
      <c r="P17" s="10" t="s">
        <v>27</v>
      </c>
      <c r="Q17" s="12">
        <v>1140</v>
      </c>
      <c r="R17" s="12">
        <v>1220</v>
      </c>
      <c r="S17" s="12">
        <v>1160</v>
      </c>
      <c r="T17" s="13">
        <f t="shared" si="0"/>
        <v>1.6133280000000001</v>
      </c>
    </row>
    <row r="18" spans="1:20" ht="15.75" x14ac:dyDescent="0.25">
      <c r="A18" s="4">
        <v>17</v>
      </c>
      <c r="B18" s="46" t="s">
        <v>28</v>
      </c>
      <c r="C18" s="47"/>
      <c r="D18" s="47"/>
      <c r="E18" s="47"/>
      <c r="F18" s="47"/>
      <c r="G18" s="6"/>
      <c r="H18" s="6"/>
      <c r="I18" s="7"/>
      <c r="J18" s="5"/>
      <c r="K18" s="5">
        <v>1</v>
      </c>
      <c r="L18" s="48">
        <v>140</v>
      </c>
      <c r="M18" s="49"/>
      <c r="N18" s="48">
        <v>410</v>
      </c>
      <c r="O18" s="49"/>
      <c r="P18" s="10" t="s">
        <v>29</v>
      </c>
      <c r="Q18" s="12">
        <v>4020</v>
      </c>
      <c r="R18" s="12">
        <v>690</v>
      </c>
      <c r="S18" s="12">
        <v>620</v>
      </c>
      <c r="T18" s="13">
        <f t="shared" si="0"/>
        <v>1.7197560000000001</v>
      </c>
    </row>
    <row r="19" spans="1:20" ht="15.75" x14ac:dyDescent="0.25">
      <c r="A19" s="4">
        <v>18</v>
      </c>
      <c r="B19" s="46" t="s">
        <v>28</v>
      </c>
      <c r="C19" s="47"/>
      <c r="D19" s="47"/>
      <c r="E19" s="47"/>
      <c r="F19" s="47"/>
      <c r="G19" s="6"/>
      <c r="H19" s="6"/>
      <c r="I19" s="7"/>
      <c r="J19" s="5"/>
      <c r="K19" s="5">
        <v>1</v>
      </c>
      <c r="L19" s="48">
        <v>140</v>
      </c>
      <c r="M19" s="49"/>
      <c r="N19" s="48">
        <v>410</v>
      </c>
      <c r="O19" s="49"/>
      <c r="P19" s="10" t="s">
        <v>29</v>
      </c>
      <c r="Q19" s="12">
        <v>4020</v>
      </c>
      <c r="R19" s="12">
        <v>690</v>
      </c>
      <c r="S19" s="12">
        <v>620</v>
      </c>
      <c r="T19" s="13">
        <f t="shared" si="0"/>
        <v>1.7197560000000001</v>
      </c>
    </row>
    <row r="20" spans="1:20" ht="15.75" x14ac:dyDescent="0.25">
      <c r="A20" s="4">
        <v>19</v>
      </c>
      <c r="B20" s="46" t="s">
        <v>28</v>
      </c>
      <c r="C20" s="47"/>
      <c r="D20" s="47"/>
      <c r="E20" s="47"/>
      <c r="F20" s="47"/>
      <c r="G20" s="6"/>
      <c r="H20" s="6"/>
      <c r="I20" s="7"/>
      <c r="J20" s="5"/>
      <c r="K20" s="5">
        <v>1</v>
      </c>
      <c r="L20" s="48">
        <v>140</v>
      </c>
      <c r="M20" s="49"/>
      <c r="N20" s="48">
        <v>410</v>
      </c>
      <c r="O20" s="49"/>
      <c r="P20" s="10" t="s">
        <v>29</v>
      </c>
      <c r="Q20" s="12">
        <v>4020</v>
      </c>
      <c r="R20" s="12">
        <v>690</v>
      </c>
      <c r="S20" s="12">
        <v>620</v>
      </c>
      <c r="T20" s="13">
        <f t="shared" si="0"/>
        <v>1.7197560000000001</v>
      </c>
    </row>
    <row r="21" spans="1:20" ht="15.75" x14ac:dyDescent="0.25">
      <c r="A21" s="8">
        <v>20</v>
      </c>
      <c r="B21" s="46" t="s">
        <v>30</v>
      </c>
      <c r="C21" s="47"/>
      <c r="D21" s="47"/>
      <c r="E21" s="47"/>
      <c r="F21" s="47"/>
      <c r="G21" s="6"/>
      <c r="H21" s="6"/>
      <c r="I21" s="7"/>
      <c r="J21" s="5"/>
      <c r="K21" s="5">
        <v>1</v>
      </c>
      <c r="L21" s="48">
        <v>140</v>
      </c>
      <c r="M21" s="49"/>
      <c r="N21" s="48">
        <v>230</v>
      </c>
      <c r="O21" s="49"/>
      <c r="P21" s="10" t="s">
        <v>31</v>
      </c>
      <c r="Q21" s="12">
        <v>800</v>
      </c>
      <c r="R21" s="12">
        <v>2290</v>
      </c>
      <c r="S21" s="12">
        <v>590</v>
      </c>
      <c r="T21" s="13">
        <f>R21*Q21*S21/1000000000</f>
        <v>1.0808800000000001</v>
      </c>
    </row>
    <row r="22" spans="1:20" ht="15.75" x14ac:dyDescent="0.25">
      <c r="A22" s="4">
        <v>21</v>
      </c>
      <c r="B22" s="46" t="s">
        <v>32</v>
      </c>
      <c r="C22" s="47"/>
      <c r="D22" s="47"/>
      <c r="E22" s="47"/>
      <c r="F22" s="47"/>
      <c r="G22" s="6"/>
      <c r="H22" s="6"/>
      <c r="I22" s="7"/>
      <c r="J22" s="5"/>
      <c r="K22" s="5">
        <v>1</v>
      </c>
      <c r="L22" s="48">
        <v>140</v>
      </c>
      <c r="M22" s="49"/>
      <c r="N22" s="48">
        <v>410</v>
      </c>
      <c r="O22" s="49"/>
      <c r="P22" s="10" t="s">
        <v>29</v>
      </c>
      <c r="Q22" s="12">
        <v>4020</v>
      </c>
      <c r="R22" s="12">
        <v>690</v>
      </c>
      <c r="S22" s="12">
        <v>620</v>
      </c>
      <c r="T22" s="13">
        <f t="shared" si="0"/>
        <v>1.7197560000000001</v>
      </c>
    </row>
    <row r="23" spans="1:20" ht="15.75" x14ac:dyDescent="0.25">
      <c r="A23" s="4">
        <v>22</v>
      </c>
      <c r="B23" s="46" t="s">
        <v>32</v>
      </c>
      <c r="C23" s="47"/>
      <c r="D23" s="47"/>
      <c r="E23" s="47"/>
      <c r="F23" s="47"/>
      <c r="G23" s="6"/>
      <c r="H23" s="6"/>
      <c r="I23" s="7"/>
      <c r="J23" s="5"/>
      <c r="K23" s="5">
        <v>1</v>
      </c>
      <c r="L23" s="48">
        <v>140</v>
      </c>
      <c r="M23" s="49"/>
      <c r="N23" s="48">
        <v>410</v>
      </c>
      <c r="O23" s="49"/>
      <c r="P23" s="10" t="s">
        <v>29</v>
      </c>
      <c r="Q23" s="12">
        <v>4020</v>
      </c>
      <c r="R23" s="12">
        <v>690</v>
      </c>
      <c r="S23" s="12">
        <v>620</v>
      </c>
      <c r="T23" s="13">
        <f t="shared" si="0"/>
        <v>1.7197560000000001</v>
      </c>
    </row>
    <row r="24" spans="1:20" ht="15.75" x14ac:dyDescent="0.25">
      <c r="A24" s="4">
        <v>23</v>
      </c>
      <c r="B24" s="46" t="s">
        <v>32</v>
      </c>
      <c r="C24" s="47"/>
      <c r="D24" s="47"/>
      <c r="E24" s="47"/>
      <c r="F24" s="47"/>
      <c r="G24" s="6"/>
      <c r="H24" s="6"/>
      <c r="I24" s="7"/>
      <c r="J24" s="5"/>
      <c r="K24" s="5">
        <v>1</v>
      </c>
      <c r="L24" s="48">
        <v>140</v>
      </c>
      <c r="M24" s="49"/>
      <c r="N24" s="48">
        <v>410</v>
      </c>
      <c r="O24" s="49"/>
      <c r="P24" s="10" t="s">
        <v>29</v>
      </c>
      <c r="Q24" s="12">
        <v>4020</v>
      </c>
      <c r="R24" s="12">
        <v>690</v>
      </c>
      <c r="S24" s="12">
        <v>620</v>
      </c>
      <c r="T24" s="13">
        <f t="shared" si="0"/>
        <v>1.7197560000000001</v>
      </c>
    </row>
    <row r="25" spans="1:20" ht="15.75" x14ac:dyDescent="0.25">
      <c r="A25" s="4">
        <v>24</v>
      </c>
      <c r="B25" s="46" t="s">
        <v>33</v>
      </c>
      <c r="C25" s="47"/>
      <c r="D25" s="47"/>
      <c r="E25" s="47"/>
      <c r="F25" s="50"/>
      <c r="G25" s="6"/>
      <c r="H25" s="6"/>
      <c r="I25" s="7"/>
      <c r="J25" s="5"/>
      <c r="K25" s="5">
        <v>1</v>
      </c>
      <c r="L25" s="48">
        <v>200</v>
      </c>
      <c r="M25" s="49"/>
      <c r="N25" s="48">
        <v>300</v>
      </c>
      <c r="O25" s="49"/>
      <c r="P25" s="10" t="s">
        <v>34</v>
      </c>
      <c r="Q25" s="12">
        <v>1510</v>
      </c>
      <c r="R25" s="12">
        <v>1086</v>
      </c>
      <c r="S25" s="12">
        <v>453</v>
      </c>
      <c r="T25" s="13">
        <f t="shared" si="0"/>
        <v>0.74285657999999999</v>
      </c>
    </row>
    <row r="26" spans="1:20" ht="15.75" x14ac:dyDescent="0.25">
      <c r="A26" s="4">
        <v>25</v>
      </c>
      <c r="B26" s="46" t="s">
        <v>13</v>
      </c>
      <c r="C26" s="47"/>
      <c r="D26" s="47"/>
      <c r="E26" s="47"/>
      <c r="F26" s="47"/>
      <c r="G26" s="6"/>
      <c r="H26" s="6"/>
      <c r="I26" s="7"/>
      <c r="J26" s="5"/>
      <c r="K26" s="5">
        <v>1</v>
      </c>
      <c r="L26" s="48">
        <v>58</v>
      </c>
      <c r="M26" s="49"/>
      <c r="N26" s="48">
        <f>L26+337</f>
        <v>395</v>
      </c>
      <c r="O26" s="49"/>
      <c r="P26" s="10" t="s">
        <v>36</v>
      </c>
      <c r="Q26" s="12">
        <v>3610</v>
      </c>
      <c r="R26" s="12">
        <v>1180</v>
      </c>
      <c r="S26" s="12">
        <v>1210</v>
      </c>
      <c r="T26" s="13">
        <f t="shared" si="0"/>
        <v>5.1543580000000002</v>
      </c>
    </row>
    <row r="27" spans="1:20" ht="15.75" x14ac:dyDescent="0.25">
      <c r="A27" s="4">
        <v>26</v>
      </c>
      <c r="B27" s="46" t="s">
        <v>12</v>
      </c>
      <c r="C27" s="47"/>
      <c r="D27" s="47"/>
      <c r="E27" s="47"/>
      <c r="F27" s="47"/>
      <c r="G27" s="6"/>
      <c r="H27" s="6"/>
      <c r="I27" s="7"/>
      <c r="J27" s="5"/>
      <c r="K27" s="5">
        <v>1</v>
      </c>
      <c r="L27" s="48">
        <v>200</v>
      </c>
      <c r="M27" s="49"/>
      <c r="N27" s="48">
        <f>L27+542</f>
        <v>742</v>
      </c>
      <c r="O27" s="49"/>
      <c r="P27" s="10" t="s">
        <v>37</v>
      </c>
      <c r="Q27" s="12">
        <v>3490</v>
      </c>
      <c r="R27" s="12">
        <v>1940</v>
      </c>
      <c r="S27" s="12">
        <v>1470</v>
      </c>
      <c r="T27" s="13">
        <f t="shared" si="0"/>
        <v>9.9527819999999991</v>
      </c>
    </row>
    <row r="28" spans="1:20" ht="15.75" x14ac:dyDescent="0.25">
      <c r="A28" s="4">
        <v>27</v>
      </c>
      <c r="B28" s="46" t="s">
        <v>35</v>
      </c>
      <c r="C28" s="47"/>
      <c r="D28" s="47"/>
      <c r="E28" s="47"/>
      <c r="F28" s="47"/>
      <c r="G28" s="6"/>
      <c r="H28" s="6"/>
      <c r="I28" s="7"/>
      <c r="J28" s="5"/>
      <c r="K28" s="5">
        <v>1</v>
      </c>
      <c r="L28" s="48">
        <v>300</v>
      </c>
      <c r="M28" s="49"/>
      <c r="N28" s="48">
        <v>360</v>
      </c>
      <c r="O28" s="49"/>
      <c r="P28" s="10" t="s">
        <v>38</v>
      </c>
      <c r="Q28" s="12">
        <v>940</v>
      </c>
      <c r="R28" s="12">
        <v>915</v>
      </c>
      <c r="S28" s="12">
        <v>575</v>
      </c>
      <c r="T28" s="13">
        <f t="shared" si="0"/>
        <v>0.49455749999999998</v>
      </c>
    </row>
    <row r="29" spans="1:20" ht="15.75" x14ac:dyDescent="0.25">
      <c r="A29" s="4">
        <v>28</v>
      </c>
      <c r="B29" s="46" t="s">
        <v>14</v>
      </c>
      <c r="C29" s="47"/>
      <c r="D29" s="47"/>
      <c r="E29" s="47"/>
      <c r="F29" s="50"/>
      <c r="G29" s="6"/>
      <c r="H29" s="6"/>
      <c r="I29" s="7"/>
      <c r="J29" s="5"/>
      <c r="K29" s="5">
        <v>1</v>
      </c>
      <c r="L29" s="48">
        <v>150</v>
      </c>
      <c r="M29" s="49"/>
      <c r="N29" s="48">
        <v>200</v>
      </c>
      <c r="O29" s="49"/>
      <c r="P29" s="10" t="s">
        <v>15</v>
      </c>
      <c r="Q29" s="12">
        <v>1000</v>
      </c>
      <c r="R29" s="12">
        <v>630</v>
      </c>
      <c r="S29" s="12">
        <v>550</v>
      </c>
      <c r="T29" s="13">
        <f t="shared" si="0"/>
        <v>0.34649999999999997</v>
      </c>
    </row>
    <row r="30" spans="1:20" ht="15.75" x14ac:dyDescent="0.25">
      <c r="A30" s="4">
        <v>29</v>
      </c>
      <c r="B30" s="46" t="s">
        <v>19</v>
      </c>
      <c r="C30" s="47"/>
      <c r="D30" s="47"/>
      <c r="E30" s="47"/>
      <c r="F30" s="50"/>
      <c r="G30" s="6"/>
      <c r="H30" s="6"/>
      <c r="I30" s="7"/>
      <c r="J30" s="5"/>
      <c r="K30" s="5">
        <v>1</v>
      </c>
      <c r="L30" s="48">
        <v>150</v>
      </c>
      <c r="M30" s="49"/>
      <c r="N30" s="48">
        <v>200</v>
      </c>
      <c r="O30" s="49"/>
      <c r="P30" s="10" t="s">
        <v>15</v>
      </c>
      <c r="Q30" s="12">
        <v>1000</v>
      </c>
      <c r="R30" s="12">
        <v>630</v>
      </c>
      <c r="S30" s="12">
        <v>550</v>
      </c>
      <c r="T30" s="13">
        <f t="shared" si="0"/>
        <v>0.34649999999999997</v>
      </c>
    </row>
    <row r="31" spans="1:20" ht="15.75" x14ac:dyDescent="0.25">
      <c r="A31" s="4">
        <v>30</v>
      </c>
      <c r="B31" s="46" t="s">
        <v>18</v>
      </c>
      <c r="C31" s="47"/>
      <c r="D31" s="47"/>
      <c r="E31" s="47"/>
      <c r="F31" s="47"/>
      <c r="G31" s="6"/>
      <c r="H31" s="6"/>
      <c r="I31" s="7"/>
      <c r="J31" s="5"/>
      <c r="K31" s="5">
        <v>1</v>
      </c>
      <c r="L31" s="60">
        <v>800</v>
      </c>
      <c r="M31" s="61"/>
      <c r="N31" s="60">
        <v>850</v>
      </c>
      <c r="O31" s="61"/>
      <c r="P31" s="10" t="s">
        <v>16</v>
      </c>
      <c r="Q31" s="12">
        <v>1100</v>
      </c>
      <c r="R31" s="12">
        <v>1100</v>
      </c>
      <c r="S31" s="12">
        <v>1100</v>
      </c>
      <c r="T31" s="13">
        <f t="shared" si="0"/>
        <v>1.331</v>
      </c>
    </row>
    <row r="32" spans="1:20" ht="15.75" x14ac:dyDescent="0.25">
      <c r="A32" s="4">
        <v>31</v>
      </c>
      <c r="B32" s="46" t="s">
        <v>18</v>
      </c>
      <c r="C32" s="47"/>
      <c r="D32" s="47"/>
      <c r="E32" s="47"/>
      <c r="F32" s="47"/>
      <c r="G32" s="11"/>
      <c r="H32" s="6"/>
      <c r="I32" s="7"/>
      <c r="J32" s="5"/>
      <c r="K32" s="5">
        <v>1</v>
      </c>
      <c r="L32" s="48">
        <v>800</v>
      </c>
      <c r="M32" s="49"/>
      <c r="N32" s="48">
        <v>850</v>
      </c>
      <c r="O32" s="49"/>
      <c r="P32" s="10" t="s">
        <v>16</v>
      </c>
      <c r="Q32" s="12">
        <v>1100</v>
      </c>
      <c r="R32" s="12">
        <v>1100</v>
      </c>
      <c r="S32" s="12">
        <v>1100</v>
      </c>
      <c r="T32" s="13">
        <f t="shared" si="0"/>
        <v>1.331</v>
      </c>
    </row>
    <row r="33" spans="1:20" ht="15.75" x14ac:dyDescent="0.25">
      <c r="A33" s="4">
        <v>32</v>
      </c>
      <c r="B33" s="46" t="s">
        <v>18</v>
      </c>
      <c r="C33" s="47"/>
      <c r="D33" s="47"/>
      <c r="E33" s="47"/>
      <c r="F33" s="47"/>
      <c r="G33" s="11"/>
      <c r="H33" s="6"/>
      <c r="I33" s="7"/>
      <c r="J33" s="5"/>
      <c r="K33" s="5">
        <v>1</v>
      </c>
      <c r="L33" s="48">
        <v>800</v>
      </c>
      <c r="M33" s="49"/>
      <c r="N33" s="48">
        <v>850</v>
      </c>
      <c r="O33" s="49"/>
      <c r="P33" s="10" t="s">
        <v>16</v>
      </c>
      <c r="Q33" s="12">
        <v>1100</v>
      </c>
      <c r="R33" s="12">
        <v>1100</v>
      </c>
      <c r="S33" s="12">
        <v>1100</v>
      </c>
      <c r="T33" s="13">
        <f t="shared" si="0"/>
        <v>1.331</v>
      </c>
    </row>
    <row r="34" spans="1:20" ht="15.75" x14ac:dyDescent="0.25">
      <c r="A34" s="4">
        <v>33</v>
      </c>
      <c r="B34" s="46" t="s">
        <v>18</v>
      </c>
      <c r="C34" s="47"/>
      <c r="D34" s="47"/>
      <c r="E34" s="47"/>
      <c r="F34" s="47"/>
      <c r="G34" s="11"/>
      <c r="H34" s="6"/>
      <c r="I34" s="7"/>
      <c r="J34" s="5"/>
      <c r="K34" s="5">
        <v>1</v>
      </c>
      <c r="L34" s="48">
        <v>800</v>
      </c>
      <c r="M34" s="49"/>
      <c r="N34" s="48">
        <v>850</v>
      </c>
      <c r="O34" s="49"/>
      <c r="P34" s="10" t="s">
        <v>16</v>
      </c>
      <c r="Q34" s="12">
        <v>1100</v>
      </c>
      <c r="R34" s="12">
        <v>1100</v>
      </c>
      <c r="S34" s="12">
        <v>1100</v>
      </c>
      <c r="T34" s="13">
        <f t="shared" si="0"/>
        <v>1.331</v>
      </c>
    </row>
    <row r="35" spans="1:20" ht="15.75" x14ac:dyDescent="0.25">
      <c r="A35" s="4">
        <v>34</v>
      </c>
      <c r="B35" s="46" t="s">
        <v>18</v>
      </c>
      <c r="C35" s="47"/>
      <c r="D35" s="47"/>
      <c r="E35" s="47"/>
      <c r="F35" s="47"/>
      <c r="G35" s="11"/>
      <c r="H35" s="6"/>
      <c r="I35" s="7"/>
      <c r="J35" s="5"/>
      <c r="K35" s="5">
        <v>1</v>
      </c>
      <c r="L35" s="48">
        <v>800</v>
      </c>
      <c r="M35" s="49"/>
      <c r="N35" s="48">
        <v>850</v>
      </c>
      <c r="O35" s="49"/>
      <c r="P35" s="10" t="s">
        <v>16</v>
      </c>
      <c r="Q35" s="12">
        <v>1100</v>
      </c>
      <c r="R35" s="12">
        <v>1100</v>
      </c>
      <c r="S35" s="12">
        <v>1100</v>
      </c>
      <c r="T35" s="13">
        <f t="shared" si="0"/>
        <v>1.331</v>
      </c>
    </row>
    <row r="36" spans="1:20" ht="15.75" x14ac:dyDescent="0.25">
      <c r="A36" s="4">
        <v>35</v>
      </c>
      <c r="B36" s="46" t="s">
        <v>18</v>
      </c>
      <c r="C36" s="47"/>
      <c r="D36" s="47"/>
      <c r="E36" s="47"/>
      <c r="F36" s="47"/>
      <c r="G36" s="11"/>
      <c r="H36" s="6"/>
      <c r="I36" s="7"/>
      <c r="J36" s="5"/>
      <c r="K36" s="5">
        <v>1</v>
      </c>
      <c r="L36" s="48">
        <v>800</v>
      </c>
      <c r="M36" s="49"/>
      <c r="N36" s="48">
        <v>850</v>
      </c>
      <c r="O36" s="49"/>
      <c r="P36" s="10" t="s">
        <v>16</v>
      </c>
      <c r="Q36" s="12">
        <v>1100</v>
      </c>
      <c r="R36" s="12">
        <v>1100</v>
      </c>
      <c r="S36" s="12">
        <v>1100</v>
      </c>
      <c r="T36" s="13">
        <f t="shared" si="0"/>
        <v>1.331</v>
      </c>
    </row>
    <row r="37" spans="1:20" ht="15.75" x14ac:dyDescent="0.25">
      <c r="A37" s="4">
        <v>36</v>
      </c>
      <c r="B37" s="46" t="s">
        <v>40</v>
      </c>
      <c r="C37" s="47"/>
      <c r="D37" s="47"/>
      <c r="E37" s="47"/>
      <c r="F37" s="47"/>
      <c r="G37" s="11"/>
      <c r="H37" s="6"/>
      <c r="I37" s="7"/>
      <c r="J37" s="5"/>
      <c r="K37" s="5">
        <v>1</v>
      </c>
      <c r="L37" s="48">
        <v>800</v>
      </c>
      <c r="M37" s="49"/>
      <c r="N37" s="48">
        <v>850</v>
      </c>
      <c r="O37" s="49"/>
      <c r="P37" s="10" t="s">
        <v>16</v>
      </c>
      <c r="Q37" s="12">
        <v>1100</v>
      </c>
      <c r="R37" s="12">
        <v>1100</v>
      </c>
      <c r="S37" s="12">
        <v>1100</v>
      </c>
      <c r="T37" s="13">
        <f t="shared" si="0"/>
        <v>1.331</v>
      </c>
    </row>
    <row r="38" spans="1:20" ht="15.75" x14ac:dyDescent="0.25">
      <c r="A38" s="4">
        <v>37</v>
      </c>
      <c r="B38" s="46" t="s">
        <v>40</v>
      </c>
      <c r="C38" s="47"/>
      <c r="D38" s="47"/>
      <c r="E38" s="47"/>
      <c r="F38" s="47"/>
      <c r="G38" s="11"/>
      <c r="H38" s="6"/>
      <c r="I38" s="7"/>
      <c r="J38" s="5"/>
      <c r="K38" s="5">
        <v>1</v>
      </c>
      <c r="L38" s="48">
        <v>800</v>
      </c>
      <c r="M38" s="49"/>
      <c r="N38" s="48">
        <v>850</v>
      </c>
      <c r="O38" s="49"/>
      <c r="P38" s="10" t="s">
        <v>16</v>
      </c>
      <c r="Q38" s="12">
        <v>1100</v>
      </c>
      <c r="R38" s="12">
        <v>1100</v>
      </c>
      <c r="S38" s="12">
        <v>1100</v>
      </c>
      <c r="T38" s="13">
        <f t="shared" si="0"/>
        <v>1.331</v>
      </c>
    </row>
    <row r="39" spans="1:20" ht="15.75" x14ac:dyDescent="0.25">
      <c r="A39" s="4">
        <v>38</v>
      </c>
      <c r="B39" s="46" t="s">
        <v>44</v>
      </c>
      <c r="C39" s="47"/>
      <c r="D39" s="47"/>
      <c r="E39" s="47"/>
      <c r="F39" s="47"/>
      <c r="G39" s="6"/>
      <c r="H39" s="6"/>
      <c r="I39" s="7"/>
      <c r="J39" s="5"/>
      <c r="K39" s="5">
        <v>1</v>
      </c>
      <c r="L39" s="60">
        <v>3625</v>
      </c>
      <c r="M39" s="61"/>
      <c r="N39" s="60">
        <v>3625</v>
      </c>
      <c r="O39" s="61"/>
      <c r="P39" s="10" t="s">
        <v>43</v>
      </c>
      <c r="Q39" s="12">
        <v>1645</v>
      </c>
      <c r="R39" s="12">
        <v>2100</v>
      </c>
      <c r="S39" s="12">
        <v>2450</v>
      </c>
      <c r="T39" s="12">
        <f t="shared" si="0"/>
        <v>8.4635250000000006</v>
      </c>
    </row>
    <row r="40" spans="1:20" s="35" customFormat="1" ht="15.75" x14ac:dyDescent="0.25">
      <c r="A40" s="28">
        <v>1</v>
      </c>
      <c r="B40" s="62" t="s">
        <v>42</v>
      </c>
      <c r="C40" s="63"/>
      <c r="D40" s="63"/>
      <c r="E40" s="63"/>
      <c r="F40" s="63"/>
      <c r="G40" s="29"/>
      <c r="H40" s="29"/>
      <c r="I40" s="30"/>
      <c r="J40" s="31"/>
      <c r="K40" s="31">
        <v>1</v>
      </c>
      <c r="L40" s="64" t="s">
        <v>41</v>
      </c>
      <c r="M40" s="65"/>
      <c r="N40" s="64">
        <v>61000</v>
      </c>
      <c r="O40" s="65"/>
      <c r="P40" s="32" t="s">
        <v>20</v>
      </c>
      <c r="Q40" s="33">
        <v>5420</v>
      </c>
      <c r="R40" s="33">
        <v>2470</v>
      </c>
      <c r="S40" s="33">
        <v>3715</v>
      </c>
      <c r="T40" s="34">
        <f>Q40*R40*S40/1000000000</f>
        <v>49.734191000000003</v>
      </c>
    </row>
    <row r="41" spans="1:20" ht="15.75" x14ac:dyDescent="0.25">
      <c r="A41" s="4">
        <v>2</v>
      </c>
      <c r="B41" s="46" t="s">
        <v>10</v>
      </c>
      <c r="C41" s="47"/>
      <c r="D41" s="47"/>
      <c r="E41" s="47"/>
      <c r="F41" s="47"/>
      <c r="G41" s="6"/>
      <c r="H41" s="6"/>
      <c r="I41" s="7"/>
      <c r="J41" s="5"/>
      <c r="K41" s="5">
        <v>1</v>
      </c>
      <c r="L41" s="48">
        <v>798</v>
      </c>
      <c r="M41" s="49"/>
      <c r="N41" s="48">
        <f>L41+792</f>
        <v>1590</v>
      </c>
      <c r="O41" s="49"/>
      <c r="P41" s="10" t="s">
        <v>21</v>
      </c>
      <c r="Q41" s="12">
        <v>3310</v>
      </c>
      <c r="R41" s="12">
        <v>1640</v>
      </c>
      <c r="S41" s="12">
        <v>2200</v>
      </c>
      <c r="T41" s="13">
        <f t="shared" ref="T41:T58" si="2">Q41*R41*S41/1000000000</f>
        <v>11.94248</v>
      </c>
    </row>
    <row r="42" spans="1:20" ht="15.75" x14ac:dyDescent="0.25">
      <c r="A42" s="4">
        <v>3</v>
      </c>
      <c r="B42" s="46" t="s">
        <v>11</v>
      </c>
      <c r="C42" s="47"/>
      <c r="D42" s="47"/>
      <c r="E42" s="47"/>
      <c r="F42" s="47"/>
      <c r="G42" s="6"/>
      <c r="H42" s="6"/>
      <c r="I42" s="7"/>
      <c r="J42" s="5"/>
      <c r="K42" s="5">
        <v>1</v>
      </c>
      <c r="L42" s="48">
        <v>705</v>
      </c>
      <c r="M42" s="49"/>
      <c r="N42" s="48">
        <f>L42+340</f>
        <v>1045</v>
      </c>
      <c r="O42" s="49"/>
      <c r="P42" s="10" t="s">
        <v>22</v>
      </c>
      <c r="Q42" s="12">
        <v>2710</v>
      </c>
      <c r="R42" s="12">
        <v>1940</v>
      </c>
      <c r="S42" s="12">
        <v>690</v>
      </c>
      <c r="T42" s="13">
        <f t="shared" si="2"/>
        <v>3.6276060000000001</v>
      </c>
    </row>
    <row r="43" spans="1:20" ht="15.75" x14ac:dyDescent="0.25">
      <c r="A43" s="4">
        <v>4</v>
      </c>
      <c r="B43" s="46" t="s">
        <v>24</v>
      </c>
      <c r="C43" s="47"/>
      <c r="D43" s="47"/>
      <c r="E43" s="47"/>
      <c r="F43" s="47"/>
      <c r="G43" s="6"/>
      <c r="H43" s="6"/>
      <c r="I43" s="7"/>
      <c r="J43" s="5"/>
      <c r="K43" s="5">
        <v>1</v>
      </c>
      <c r="L43" s="48">
        <v>646</v>
      </c>
      <c r="M43" s="49"/>
      <c r="N43" s="48">
        <f t="shared" ref="N43:N49" si="3">L43+388</f>
        <v>1034</v>
      </c>
      <c r="O43" s="49"/>
      <c r="P43" s="10" t="s">
        <v>39</v>
      </c>
      <c r="Q43" s="12">
        <v>2250</v>
      </c>
      <c r="R43" s="12">
        <v>1540</v>
      </c>
      <c r="S43" s="12">
        <v>1330</v>
      </c>
      <c r="T43" s="13">
        <f t="shared" si="2"/>
        <v>4.6084500000000004</v>
      </c>
    </row>
    <row r="44" spans="1:20" ht="15.75" x14ac:dyDescent="0.25">
      <c r="A44" s="4">
        <v>5</v>
      </c>
      <c r="B44" s="46" t="s">
        <v>24</v>
      </c>
      <c r="C44" s="47"/>
      <c r="D44" s="47"/>
      <c r="E44" s="47"/>
      <c r="F44" s="47"/>
      <c r="G44" s="6"/>
      <c r="H44" s="6"/>
      <c r="I44" s="7"/>
      <c r="J44" s="5"/>
      <c r="K44" s="5">
        <v>1</v>
      </c>
      <c r="L44" s="48">
        <v>646</v>
      </c>
      <c r="M44" s="49"/>
      <c r="N44" s="48">
        <f t="shared" si="3"/>
        <v>1034</v>
      </c>
      <c r="O44" s="49"/>
      <c r="P44" s="10" t="s">
        <v>39</v>
      </c>
      <c r="Q44" s="12">
        <v>2250</v>
      </c>
      <c r="R44" s="12">
        <v>1540</v>
      </c>
      <c r="S44" s="12">
        <v>1330</v>
      </c>
      <c r="T44" s="13">
        <f t="shared" si="2"/>
        <v>4.6084500000000004</v>
      </c>
    </row>
    <row r="45" spans="1:20" ht="15.75" x14ac:dyDescent="0.25">
      <c r="A45" s="4">
        <v>6</v>
      </c>
      <c r="B45" s="46" t="s">
        <v>24</v>
      </c>
      <c r="C45" s="47"/>
      <c r="D45" s="47"/>
      <c r="E45" s="47"/>
      <c r="F45" s="47"/>
      <c r="G45" s="6"/>
      <c r="H45" s="6"/>
      <c r="I45" s="7"/>
      <c r="J45" s="5"/>
      <c r="K45" s="5">
        <v>1</v>
      </c>
      <c r="L45" s="48">
        <v>646</v>
      </c>
      <c r="M45" s="49"/>
      <c r="N45" s="48">
        <f t="shared" si="3"/>
        <v>1034</v>
      </c>
      <c r="O45" s="49"/>
      <c r="P45" s="10" t="s">
        <v>39</v>
      </c>
      <c r="Q45" s="12">
        <v>2250</v>
      </c>
      <c r="R45" s="12">
        <v>1540</v>
      </c>
      <c r="S45" s="12">
        <v>1330</v>
      </c>
      <c r="T45" s="13">
        <f t="shared" si="2"/>
        <v>4.6084500000000004</v>
      </c>
    </row>
    <row r="46" spans="1:20" ht="15.75" x14ac:dyDescent="0.25">
      <c r="A46" s="4">
        <v>7</v>
      </c>
      <c r="B46" s="46" t="s">
        <v>24</v>
      </c>
      <c r="C46" s="47"/>
      <c r="D46" s="47"/>
      <c r="E46" s="47"/>
      <c r="F46" s="47"/>
      <c r="G46" s="6"/>
      <c r="H46" s="6"/>
      <c r="I46" s="7"/>
      <c r="J46" s="5"/>
      <c r="K46" s="5">
        <v>1</v>
      </c>
      <c r="L46" s="48">
        <v>646</v>
      </c>
      <c r="M46" s="49"/>
      <c r="N46" s="48">
        <f t="shared" si="3"/>
        <v>1034</v>
      </c>
      <c r="O46" s="49"/>
      <c r="P46" s="10" t="s">
        <v>39</v>
      </c>
      <c r="Q46" s="12">
        <v>2250</v>
      </c>
      <c r="R46" s="12">
        <v>1540</v>
      </c>
      <c r="S46" s="12">
        <v>1330</v>
      </c>
      <c r="T46" s="13">
        <f t="shared" si="2"/>
        <v>4.6084500000000004</v>
      </c>
    </row>
    <row r="47" spans="1:20" ht="15.75" x14ac:dyDescent="0.25">
      <c r="A47" s="4">
        <v>8</v>
      </c>
      <c r="B47" s="46" t="s">
        <v>24</v>
      </c>
      <c r="C47" s="47"/>
      <c r="D47" s="47"/>
      <c r="E47" s="47"/>
      <c r="F47" s="47"/>
      <c r="G47" s="6"/>
      <c r="H47" s="6"/>
      <c r="I47" s="7"/>
      <c r="J47" s="5"/>
      <c r="K47" s="5">
        <v>1</v>
      </c>
      <c r="L47" s="48">
        <v>646</v>
      </c>
      <c r="M47" s="49"/>
      <c r="N47" s="48">
        <f t="shared" si="3"/>
        <v>1034</v>
      </c>
      <c r="O47" s="49"/>
      <c r="P47" s="10" t="s">
        <v>39</v>
      </c>
      <c r="Q47" s="12">
        <v>2250</v>
      </c>
      <c r="R47" s="12">
        <v>1540</v>
      </c>
      <c r="S47" s="12">
        <v>1330</v>
      </c>
      <c r="T47" s="13">
        <f t="shared" si="2"/>
        <v>4.6084500000000004</v>
      </c>
    </row>
    <row r="48" spans="1:20" ht="15.75" x14ac:dyDescent="0.25">
      <c r="A48" s="4">
        <v>9</v>
      </c>
      <c r="B48" s="46" t="s">
        <v>24</v>
      </c>
      <c r="C48" s="47"/>
      <c r="D48" s="47"/>
      <c r="E48" s="47"/>
      <c r="F48" s="47"/>
      <c r="G48" s="6"/>
      <c r="H48" s="6"/>
      <c r="I48" s="7"/>
      <c r="J48" s="5"/>
      <c r="K48" s="5">
        <v>1</v>
      </c>
      <c r="L48" s="48">
        <v>646</v>
      </c>
      <c r="M48" s="49"/>
      <c r="N48" s="48">
        <f t="shared" si="3"/>
        <v>1034</v>
      </c>
      <c r="O48" s="49"/>
      <c r="P48" s="10" t="s">
        <v>39</v>
      </c>
      <c r="Q48" s="12">
        <v>2250</v>
      </c>
      <c r="R48" s="12">
        <v>1540</v>
      </c>
      <c r="S48" s="12">
        <v>1330</v>
      </c>
      <c r="T48" s="13">
        <f t="shared" si="2"/>
        <v>4.6084500000000004</v>
      </c>
    </row>
    <row r="49" spans="1:20" ht="15.75" x14ac:dyDescent="0.25">
      <c r="A49" s="4">
        <v>10</v>
      </c>
      <c r="B49" s="46" t="s">
        <v>24</v>
      </c>
      <c r="C49" s="47"/>
      <c r="D49" s="47"/>
      <c r="E49" s="47"/>
      <c r="F49" s="47"/>
      <c r="G49" s="6"/>
      <c r="H49" s="6"/>
      <c r="I49" s="7"/>
      <c r="J49" s="5"/>
      <c r="K49" s="5">
        <v>1</v>
      </c>
      <c r="L49" s="48">
        <v>646</v>
      </c>
      <c r="M49" s="49"/>
      <c r="N49" s="48">
        <f t="shared" si="3"/>
        <v>1034</v>
      </c>
      <c r="O49" s="49"/>
      <c r="P49" s="10" t="s">
        <v>39</v>
      </c>
      <c r="Q49" s="12">
        <v>2250</v>
      </c>
      <c r="R49" s="12">
        <v>1540</v>
      </c>
      <c r="S49" s="12">
        <v>1330</v>
      </c>
      <c r="T49" s="13">
        <f t="shared" si="2"/>
        <v>4.6084500000000004</v>
      </c>
    </row>
    <row r="50" spans="1:20" ht="15.75" x14ac:dyDescent="0.25">
      <c r="A50" s="4">
        <v>11</v>
      </c>
      <c r="B50" s="46" t="s">
        <v>23</v>
      </c>
      <c r="C50" s="47"/>
      <c r="D50" s="47"/>
      <c r="E50" s="47"/>
      <c r="F50" s="47"/>
      <c r="G50" s="6"/>
      <c r="H50" s="6"/>
      <c r="I50" s="7"/>
      <c r="J50" s="5"/>
      <c r="K50" s="5">
        <v>1</v>
      </c>
      <c r="L50" s="48">
        <v>175</v>
      </c>
      <c r="M50" s="49"/>
      <c r="N50" s="48">
        <v>275</v>
      </c>
      <c r="O50" s="49"/>
      <c r="P50" s="10" t="s">
        <v>17</v>
      </c>
      <c r="Q50" s="12">
        <v>2240</v>
      </c>
      <c r="R50" s="12">
        <v>705</v>
      </c>
      <c r="S50" s="12">
        <v>775</v>
      </c>
      <c r="T50" s="13">
        <f t="shared" si="2"/>
        <v>1.2238800000000001</v>
      </c>
    </row>
    <row r="51" spans="1:20" ht="15.75" x14ac:dyDescent="0.25">
      <c r="A51" s="4">
        <v>12</v>
      </c>
      <c r="B51" s="46" t="s">
        <v>23</v>
      </c>
      <c r="C51" s="47"/>
      <c r="D51" s="47"/>
      <c r="E51" s="47"/>
      <c r="F51" s="47"/>
      <c r="G51" s="6"/>
      <c r="H51" s="6"/>
      <c r="I51" s="7"/>
      <c r="J51" s="5"/>
      <c r="K51" s="5">
        <v>1</v>
      </c>
      <c r="L51" s="48">
        <v>175</v>
      </c>
      <c r="M51" s="49"/>
      <c r="N51" s="48">
        <v>275</v>
      </c>
      <c r="O51" s="49"/>
      <c r="P51" s="10" t="s">
        <v>17</v>
      </c>
      <c r="Q51" s="12">
        <v>2240</v>
      </c>
      <c r="R51" s="12">
        <v>705</v>
      </c>
      <c r="S51" s="12">
        <v>775</v>
      </c>
      <c r="T51" s="13">
        <f t="shared" si="2"/>
        <v>1.2238800000000001</v>
      </c>
    </row>
    <row r="52" spans="1:20" ht="15.75" x14ac:dyDescent="0.25">
      <c r="A52" s="4">
        <v>13</v>
      </c>
      <c r="B52" s="46" t="s">
        <v>25</v>
      </c>
      <c r="C52" s="47"/>
      <c r="D52" s="47"/>
      <c r="E52" s="47"/>
      <c r="F52" s="47"/>
      <c r="G52" s="6"/>
      <c r="H52" s="6"/>
      <c r="I52" s="7"/>
      <c r="J52" s="5"/>
      <c r="K52" s="5">
        <v>1</v>
      </c>
      <c r="L52" s="48">
        <v>135</v>
      </c>
      <c r="M52" s="49"/>
      <c r="N52" s="48">
        <f>L52+172</f>
        <v>307</v>
      </c>
      <c r="O52" s="49"/>
      <c r="P52" s="10" t="s">
        <v>27</v>
      </c>
      <c r="Q52" s="12">
        <v>1140</v>
      </c>
      <c r="R52" s="12">
        <v>1220</v>
      </c>
      <c r="S52" s="12">
        <v>1160</v>
      </c>
      <c r="T52" s="13">
        <f t="shared" si="2"/>
        <v>1.6133280000000001</v>
      </c>
    </row>
    <row r="53" spans="1:20" ht="15.75" x14ac:dyDescent="0.25">
      <c r="A53" s="4">
        <v>14</v>
      </c>
      <c r="B53" s="46" t="s">
        <v>25</v>
      </c>
      <c r="C53" s="47"/>
      <c r="D53" s="47"/>
      <c r="E53" s="47"/>
      <c r="F53" s="47"/>
      <c r="G53" s="6"/>
      <c r="H53" s="6"/>
      <c r="I53" s="7"/>
      <c r="J53" s="5"/>
      <c r="K53" s="5">
        <v>1</v>
      </c>
      <c r="L53" s="48">
        <v>135</v>
      </c>
      <c r="M53" s="49"/>
      <c r="N53" s="48">
        <f>L53+172</f>
        <v>307</v>
      </c>
      <c r="O53" s="49"/>
      <c r="P53" s="10" t="s">
        <v>27</v>
      </c>
      <c r="Q53" s="12">
        <v>1140</v>
      </c>
      <c r="R53" s="12">
        <v>1220</v>
      </c>
      <c r="S53" s="12">
        <v>1160</v>
      </c>
      <c r="T53" s="13">
        <f t="shared" si="2"/>
        <v>1.6133280000000001</v>
      </c>
    </row>
    <row r="54" spans="1:20" ht="15.75" x14ac:dyDescent="0.25">
      <c r="A54" s="4">
        <v>15</v>
      </c>
      <c r="B54" s="46" t="s">
        <v>25</v>
      </c>
      <c r="C54" s="47"/>
      <c r="D54" s="47"/>
      <c r="E54" s="47"/>
      <c r="F54" s="47"/>
      <c r="G54" s="6"/>
      <c r="H54" s="6"/>
      <c r="I54" s="7"/>
      <c r="J54" s="5"/>
      <c r="K54" s="5">
        <v>1</v>
      </c>
      <c r="L54" s="48">
        <v>135</v>
      </c>
      <c r="M54" s="49"/>
      <c r="N54" s="48">
        <f>L54+172</f>
        <v>307</v>
      </c>
      <c r="O54" s="49"/>
      <c r="P54" s="10" t="s">
        <v>27</v>
      </c>
      <c r="Q54" s="12">
        <v>1140</v>
      </c>
      <c r="R54" s="12">
        <v>1220</v>
      </c>
      <c r="S54" s="12">
        <v>1160</v>
      </c>
      <c r="T54" s="13">
        <f t="shared" si="2"/>
        <v>1.6133280000000001</v>
      </c>
    </row>
    <row r="55" spans="1:20" ht="15.75" x14ac:dyDescent="0.25">
      <c r="A55" s="4">
        <v>16</v>
      </c>
      <c r="B55" s="46" t="s">
        <v>26</v>
      </c>
      <c r="C55" s="47"/>
      <c r="D55" s="47"/>
      <c r="E55" s="47"/>
      <c r="F55" s="47"/>
      <c r="G55" s="6"/>
      <c r="H55" s="6"/>
      <c r="I55" s="7"/>
      <c r="J55" s="5"/>
      <c r="K55" s="5">
        <v>1</v>
      </c>
      <c r="L55" s="48">
        <v>85</v>
      </c>
      <c r="M55" s="49"/>
      <c r="N55" s="48">
        <f>L55+172</f>
        <v>257</v>
      </c>
      <c r="O55" s="49"/>
      <c r="P55" s="10" t="s">
        <v>27</v>
      </c>
      <c r="Q55" s="12">
        <v>1140</v>
      </c>
      <c r="R55" s="12">
        <v>1220</v>
      </c>
      <c r="S55" s="12">
        <v>1160</v>
      </c>
      <c r="T55" s="13">
        <f t="shared" si="2"/>
        <v>1.6133280000000001</v>
      </c>
    </row>
    <row r="56" spans="1:20" ht="15.75" x14ac:dyDescent="0.25">
      <c r="A56" s="4">
        <v>17</v>
      </c>
      <c r="B56" s="46" t="s">
        <v>28</v>
      </c>
      <c r="C56" s="47"/>
      <c r="D56" s="47"/>
      <c r="E56" s="47"/>
      <c r="F56" s="47"/>
      <c r="G56" s="6"/>
      <c r="H56" s="6"/>
      <c r="I56" s="7"/>
      <c r="J56" s="5"/>
      <c r="K56" s="5">
        <v>1</v>
      </c>
      <c r="L56" s="48">
        <v>140</v>
      </c>
      <c r="M56" s="49"/>
      <c r="N56" s="48">
        <v>410</v>
      </c>
      <c r="O56" s="49"/>
      <c r="P56" s="10" t="s">
        <v>29</v>
      </c>
      <c r="Q56" s="12">
        <v>4020</v>
      </c>
      <c r="R56" s="12">
        <v>690</v>
      </c>
      <c r="S56" s="12">
        <v>620</v>
      </c>
      <c r="T56" s="13">
        <f t="shared" si="2"/>
        <v>1.7197560000000001</v>
      </c>
    </row>
    <row r="57" spans="1:20" ht="15.75" x14ac:dyDescent="0.25">
      <c r="A57" s="4">
        <v>18</v>
      </c>
      <c r="B57" s="46" t="s">
        <v>28</v>
      </c>
      <c r="C57" s="47"/>
      <c r="D57" s="47"/>
      <c r="E57" s="47"/>
      <c r="F57" s="47"/>
      <c r="G57" s="6"/>
      <c r="H57" s="6"/>
      <c r="I57" s="7"/>
      <c r="J57" s="5"/>
      <c r="K57" s="5">
        <v>1</v>
      </c>
      <c r="L57" s="48">
        <v>140</v>
      </c>
      <c r="M57" s="49"/>
      <c r="N57" s="48">
        <v>410</v>
      </c>
      <c r="O57" s="49"/>
      <c r="P57" s="10" t="s">
        <v>29</v>
      </c>
      <c r="Q57" s="12">
        <v>4020</v>
      </c>
      <c r="R57" s="12">
        <v>690</v>
      </c>
      <c r="S57" s="12">
        <v>620</v>
      </c>
      <c r="T57" s="13">
        <f t="shared" si="2"/>
        <v>1.7197560000000001</v>
      </c>
    </row>
    <row r="58" spans="1:20" ht="15.75" x14ac:dyDescent="0.25">
      <c r="A58" s="4">
        <v>19</v>
      </c>
      <c r="B58" s="46" t="s">
        <v>28</v>
      </c>
      <c r="C58" s="47"/>
      <c r="D58" s="47"/>
      <c r="E58" s="47"/>
      <c r="F58" s="47"/>
      <c r="G58" s="6"/>
      <c r="H58" s="6"/>
      <c r="I58" s="7"/>
      <c r="J58" s="5"/>
      <c r="K58" s="5">
        <v>1</v>
      </c>
      <c r="L58" s="48">
        <v>140</v>
      </c>
      <c r="M58" s="49"/>
      <c r="N58" s="48">
        <v>410</v>
      </c>
      <c r="O58" s="49"/>
      <c r="P58" s="10" t="s">
        <v>29</v>
      </c>
      <c r="Q58" s="12">
        <v>4020</v>
      </c>
      <c r="R58" s="12">
        <v>690</v>
      </c>
      <c r="S58" s="12">
        <v>620</v>
      </c>
      <c r="T58" s="13">
        <f t="shared" si="2"/>
        <v>1.7197560000000001</v>
      </c>
    </row>
    <row r="59" spans="1:20" ht="15.75" x14ac:dyDescent="0.25">
      <c r="A59" s="8">
        <v>20</v>
      </c>
      <c r="B59" s="46" t="s">
        <v>30</v>
      </c>
      <c r="C59" s="47"/>
      <c r="D59" s="47"/>
      <c r="E59" s="47"/>
      <c r="F59" s="47"/>
      <c r="G59" s="6"/>
      <c r="H59" s="6"/>
      <c r="I59" s="7"/>
      <c r="J59" s="5"/>
      <c r="K59" s="5">
        <v>1</v>
      </c>
      <c r="L59" s="48">
        <v>140</v>
      </c>
      <c r="M59" s="49"/>
      <c r="N59" s="48">
        <v>230</v>
      </c>
      <c r="O59" s="49"/>
      <c r="P59" s="10" t="s">
        <v>31</v>
      </c>
      <c r="Q59" s="12">
        <v>800</v>
      </c>
      <c r="R59" s="12">
        <v>2290</v>
      </c>
      <c r="S59" s="12">
        <v>590</v>
      </c>
      <c r="T59" s="13">
        <f>R59*Q59*S59/1000000000</f>
        <v>1.0808800000000001</v>
      </c>
    </row>
    <row r="60" spans="1:20" ht="15.75" x14ac:dyDescent="0.25">
      <c r="A60" s="4">
        <v>21</v>
      </c>
      <c r="B60" s="46" t="s">
        <v>32</v>
      </c>
      <c r="C60" s="47"/>
      <c r="D60" s="47"/>
      <c r="E60" s="47"/>
      <c r="F60" s="47"/>
      <c r="G60" s="6"/>
      <c r="H60" s="6"/>
      <c r="I60" s="7"/>
      <c r="J60" s="5"/>
      <c r="K60" s="5">
        <v>1</v>
      </c>
      <c r="L60" s="48">
        <v>140</v>
      </c>
      <c r="M60" s="49"/>
      <c r="N60" s="48">
        <v>410</v>
      </c>
      <c r="O60" s="49"/>
      <c r="P60" s="10" t="s">
        <v>29</v>
      </c>
      <c r="Q60" s="12">
        <v>4020</v>
      </c>
      <c r="R60" s="12">
        <v>690</v>
      </c>
      <c r="S60" s="12">
        <v>620</v>
      </c>
      <c r="T60" s="13">
        <f t="shared" ref="T60:T77" si="4">Q60*R60*S60/1000000000</f>
        <v>1.7197560000000001</v>
      </c>
    </row>
    <row r="61" spans="1:20" ht="15.75" x14ac:dyDescent="0.25">
      <c r="A61" s="4">
        <v>22</v>
      </c>
      <c r="B61" s="46" t="s">
        <v>32</v>
      </c>
      <c r="C61" s="47"/>
      <c r="D61" s="47"/>
      <c r="E61" s="47"/>
      <c r="F61" s="47"/>
      <c r="G61" s="6"/>
      <c r="H61" s="6"/>
      <c r="I61" s="7"/>
      <c r="J61" s="5"/>
      <c r="K61" s="5">
        <v>1</v>
      </c>
      <c r="L61" s="48">
        <v>140</v>
      </c>
      <c r="M61" s="49"/>
      <c r="N61" s="48">
        <v>410</v>
      </c>
      <c r="O61" s="49"/>
      <c r="P61" s="10" t="s">
        <v>29</v>
      </c>
      <c r="Q61" s="12">
        <v>4020</v>
      </c>
      <c r="R61" s="12">
        <v>690</v>
      </c>
      <c r="S61" s="12">
        <v>620</v>
      </c>
      <c r="T61" s="13">
        <f t="shared" si="4"/>
        <v>1.7197560000000001</v>
      </c>
    </row>
    <row r="62" spans="1:20" ht="15.75" x14ac:dyDescent="0.25">
      <c r="A62" s="4">
        <v>23</v>
      </c>
      <c r="B62" s="46" t="s">
        <v>32</v>
      </c>
      <c r="C62" s="47"/>
      <c r="D62" s="47"/>
      <c r="E62" s="47"/>
      <c r="F62" s="47"/>
      <c r="G62" s="6"/>
      <c r="H62" s="6"/>
      <c r="I62" s="7"/>
      <c r="J62" s="5"/>
      <c r="K62" s="5">
        <v>1</v>
      </c>
      <c r="L62" s="48">
        <v>140</v>
      </c>
      <c r="M62" s="49"/>
      <c r="N62" s="48">
        <v>410</v>
      </c>
      <c r="O62" s="49"/>
      <c r="P62" s="10" t="s">
        <v>29</v>
      </c>
      <c r="Q62" s="12">
        <v>4020</v>
      </c>
      <c r="R62" s="12">
        <v>690</v>
      </c>
      <c r="S62" s="12">
        <v>620</v>
      </c>
      <c r="T62" s="13">
        <f t="shared" si="4"/>
        <v>1.7197560000000001</v>
      </c>
    </row>
    <row r="63" spans="1:20" ht="15.75" x14ac:dyDescent="0.25">
      <c r="A63" s="4">
        <v>24</v>
      </c>
      <c r="B63" s="46" t="s">
        <v>33</v>
      </c>
      <c r="C63" s="47"/>
      <c r="D63" s="47"/>
      <c r="E63" s="47"/>
      <c r="F63" s="50"/>
      <c r="G63" s="6"/>
      <c r="H63" s="6"/>
      <c r="I63" s="7"/>
      <c r="J63" s="5"/>
      <c r="K63" s="5">
        <v>1</v>
      </c>
      <c r="L63" s="48">
        <v>200</v>
      </c>
      <c r="M63" s="49"/>
      <c r="N63" s="48">
        <v>300</v>
      </c>
      <c r="O63" s="49"/>
      <c r="P63" s="10" t="s">
        <v>34</v>
      </c>
      <c r="Q63" s="12">
        <v>1510</v>
      </c>
      <c r="R63" s="12">
        <v>1086</v>
      </c>
      <c r="S63" s="12">
        <v>453</v>
      </c>
      <c r="T63" s="13">
        <f t="shared" si="4"/>
        <v>0.74285657999999999</v>
      </c>
    </row>
    <row r="64" spans="1:20" ht="15.75" x14ac:dyDescent="0.25">
      <c r="A64" s="4">
        <v>25</v>
      </c>
      <c r="B64" s="46" t="s">
        <v>13</v>
      </c>
      <c r="C64" s="47"/>
      <c r="D64" s="47"/>
      <c r="E64" s="47"/>
      <c r="F64" s="47"/>
      <c r="G64" s="6"/>
      <c r="H64" s="6"/>
      <c r="I64" s="7"/>
      <c r="J64" s="5"/>
      <c r="K64" s="5">
        <v>1</v>
      </c>
      <c r="L64" s="48">
        <v>58</v>
      </c>
      <c r="M64" s="49"/>
      <c r="N64" s="48">
        <f>L64+337</f>
        <v>395</v>
      </c>
      <c r="O64" s="49"/>
      <c r="P64" s="10" t="s">
        <v>36</v>
      </c>
      <c r="Q64" s="12">
        <v>3610</v>
      </c>
      <c r="R64" s="12">
        <v>1180</v>
      </c>
      <c r="S64" s="12">
        <v>1210</v>
      </c>
      <c r="T64" s="13">
        <f t="shared" si="4"/>
        <v>5.1543580000000002</v>
      </c>
    </row>
    <row r="65" spans="1:20" ht="15.75" x14ac:dyDescent="0.25">
      <c r="A65" s="4">
        <v>26</v>
      </c>
      <c r="B65" s="46" t="s">
        <v>12</v>
      </c>
      <c r="C65" s="47"/>
      <c r="D65" s="47"/>
      <c r="E65" s="47"/>
      <c r="F65" s="47"/>
      <c r="G65" s="6"/>
      <c r="H65" s="6"/>
      <c r="I65" s="7"/>
      <c r="J65" s="5"/>
      <c r="K65" s="5">
        <v>1</v>
      </c>
      <c r="L65" s="48">
        <v>200</v>
      </c>
      <c r="M65" s="49"/>
      <c r="N65" s="48">
        <f>L65+542</f>
        <v>742</v>
      </c>
      <c r="O65" s="49"/>
      <c r="P65" s="10" t="s">
        <v>37</v>
      </c>
      <c r="Q65" s="12">
        <v>3490</v>
      </c>
      <c r="R65" s="12">
        <v>1940</v>
      </c>
      <c r="S65" s="12">
        <v>1470</v>
      </c>
      <c r="T65" s="13">
        <f t="shared" si="4"/>
        <v>9.9527819999999991</v>
      </c>
    </row>
    <row r="66" spans="1:20" ht="15.75" x14ac:dyDescent="0.25">
      <c r="A66" s="4">
        <v>27</v>
      </c>
      <c r="B66" s="46" t="s">
        <v>35</v>
      </c>
      <c r="C66" s="47"/>
      <c r="D66" s="47"/>
      <c r="E66" s="47"/>
      <c r="F66" s="47"/>
      <c r="G66" s="6"/>
      <c r="H66" s="6"/>
      <c r="I66" s="7"/>
      <c r="J66" s="5"/>
      <c r="K66" s="5">
        <v>1</v>
      </c>
      <c r="L66" s="48">
        <v>300</v>
      </c>
      <c r="M66" s="49"/>
      <c r="N66" s="48">
        <v>360</v>
      </c>
      <c r="O66" s="49"/>
      <c r="P66" s="10" t="s">
        <v>38</v>
      </c>
      <c r="Q66" s="12">
        <v>940</v>
      </c>
      <c r="R66" s="12">
        <v>915</v>
      </c>
      <c r="S66" s="12">
        <v>575</v>
      </c>
      <c r="T66" s="13">
        <f t="shared" si="4"/>
        <v>0.49455749999999998</v>
      </c>
    </row>
    <row r="67" spans="1:20" ht="15.75" x14ac:dyDescent="0.25">
      <c r="A67" s="4">
        <v>28</v>
      </c>
      <c r="B67" s="46" t="s">
        <v>14</v>
      </c>
      <c r="C67" s="47"/>
      <c r="D67" s="47"/>
      <c r="E67" s="47"/>
      <c r="F67" s="50"/>
      <c r="G67" s="6"/>
      <c r="H67" s="6"/>
      <c r="I67" s="7"/>
      <c r="J67" s="5"/>
      <c r="K67" s="5">
        <v>1</v>
      </c>
      <c r="L67" s="48">
        <v>150</v>
      </c>
      <c r="M67" s="49"/>
      <c r="N67" s="48">
        <v>200</v>
      </c>
      <c r="O67" s="49"/>
      <c r="P67" s="10" t="s">
        <v>15</v>
      </c>
      <c r="Q67" s="12">
        <v>1000</v>
      </c>
      <c r="R67" s="12">
        <v>630</v>
      </c>
      <c r="S67" s="12">
        <v>550</v>
      </c>
      <c r="T67" s="13">
        <f t="shared" si="4"/>
        <v>0.34649999999999997</v>
      </c>
    </row>
    <row r="68" spans="1:20" ht="15.75" x14ac:dyDescent="0.25">
      <c r="A68" s="4">
        <v>29</v>
      </c>
      <c r="B68" s="46" t="s">
        <v>19</v>
      </c>
      <c r="C68" s="47"/>
      <c r="D68" s="47"/>
      <c r="E68" s="47"/>
      <c r="F68" s="50"/>
      <c r="G68" s="6"/>
      <c r="H68" s="6"/>
      <c r="I68" s="7"/>
      <c r="J68" s="5"/>
      <c r="K68" s="5">
        <v>1</v>
      </c>
      <c r="L68" s="48">
        <v>150</v>
      </c>
      <c r="M68" s="49"/>
      <c r="N68" s="48">
        <v>200</v>
      </c>
      <c r="O68" s="49"/>
      <c r="P68" s="10" t="s">
        <v>15</v>
      </c>
      <c r="Q68" s="12">
        <v>1000</v>
      </c>
      <c r="R68" s="12">
        <v>630</v>
      </c>
      <c r="S68" s="12">
        <v>550</v>
      </c>
      <c r="T68" s="13">
        <f t="shared" si="4"/>
        <v>0.34649999999999997</v>
      </c>
    </row>
    <row r="69" spans="1:20" ht="15.75" x14ac:dyDescent="0.25">
      <c r="A69" s="4">
        <v>30</v>
      </c>
      <c r="B69" s="46" t="s">
        <v>18</v>
      </c>
      <c r="C69" s="47"/>
      <c r="D69" s="47"/>
      <c r="E69" s="47"/>
      <c r="F69" s="47"/>
      <c r="G69" s="6"/>
      <c r="H69" s="6"/>
      <c r="I69" s="7"/>
      <c r="J69" s="5"/>
      <c r="K69" s="5">
        <v>1</v>
      </c>
      <c r="L69" s="60">
        <v>800</v>
      </c>
      <c r="M69" s="61"/>
      <c r="N69" s="60">
        <v>850</v>
      </c>
      <c r="O69" s="61"/>
      <c r="P69" s="10" t="s">
        <v>16</v>
      </c>
      <c r="Q69" s="12">
        <v>1100</v>
      </c>
      <c r="R69" s="12">
        <v>1100</v>
      </c>
      <c r="S69" s="12">
        <v>1100</v>
      </c>
      <c r="T69" s="13">
        <f t="shared" si="4"/>
        <v>1.331</v>
      </c>
    </row>
    <row r="70" spans="1:20" ht="15.75" x14ac:dyDescent="0.25">
      <c r="A70" s="4">
        <v>31</v>
      </c>
      <c r="B70" s="46" t="s">
        <v>18</v>
      </c>
      <c r="C70" s="47"/>
      <c r="D70" s="47"/>
      <c r="E70" s="47"/>
      <c r="F70" s="47"/>
      <c r="G70" s="11"/>
      <c r="H70" s="6"/>
      <c r="I70" s="7"/>
      <c r="J70" s="5"/>
      <c r="K70" s="5">
        <v>1</v>
      </c>
      <c r="L70" s="48">
        <v>800</v>
      </c>
      <c r="M70" s="49"/>
      <c r="N70" s="48">
        <v>850</v>
      </c>
      <c r="O70" s="49"/>
      <c r="P70" s="10" t="s">
        <v>16</v>
      </c>
      <c r="Q70" s="12">
        <v>1100</v>
      </c>
      <c r="R70" s="12">
        <v>1100</v>
      </c>
      <c r="S70" s="12">
        <v>1100</v>
      </c>
      <c r="T70" s="13">
        <f t="shared" si="4"/>
        <v>1.331</v>
      </c>
    </row>
    <row r="71" spans="1:20" ht="15.75" x14ac:dyDescent="0.25">
      <c r="A71" s="4">
        <v>32</v>
      </c>
      <c r="B71" s="46" t="s">
        <v>18</v>
      </c>
      <c r="C71" s="47"/>
      <c r="D71" s="47"/>
      <c r="E71" s="47"/>
      <c r="F71" s="47"/>
      <c r="G71" s="11"/>
      <c r="H71" s="6"/>
      <c r="I71" s="7"/>
      <c r="J71" s="5"/>
      <c r="K71" s="5">
        <v>1</v>
      </c>
      <c r="L71" s="48">
        <v>800</v>
      </c>
      <c r="M71" s="49"/>
      <c r="N71" s="48">
        <v>850</v>
      </c>
      <c r="O71" s="49"/>
      <c r="P71" s="10" t="s">
        <v>16</v>
      </c>
      <c r="Q71" s="12">
        <v>1100</v>
      </c>
      <c r="R71" s="12">
        <v>1100</v>
      </c>
      <c r="S71" s="12">
        <v>1100</v>
      </c>
      <c r="T71" s="13">
        <f t="shared" si="4"/>
        <v>1.331</v>
      </c>
    </row>
    <row r="72" spans="1:20" ht="15.75" x14ac:dyDescent="0.25">
      <c r="A72" s="4">
        <v>33</v>
      </c>
      <c r="B72" s="46" t="s">
        <v>18</v>
      </c>
      <c r="C72" s="47"/>
      <c r="D72" s="47"/>
      <c r="E72" s="47"/>
      <c r="F72" s="47"/>
      <c r="G72" s="11"/>
      <c r="H72" s="6"/>
      <c r="I72" s="7"/>
      <c r="J72" s="5"/>
      <c r="K72" s="5">
        <v>1</v>
      </c>
      <c r="L72" s="48">
        <v>800</v>
      </c>
      <c r="M72" s="49"/>
      <c r="N72" s="48">
        <v>850</v>
      </c>
      <c r="O72" s="49"/>
      <c r="P72" s="10" t="s">
        <v>16</v>
      </c>
      <c r="Q72" s="12">
        <v>1100</v>
      </c>
      <c r="R72" s="12">
        <v>1100</v>
      </c>
      <c r="S72" s="12">
        <v>1100</v>
      </c>
      <c r="T72" s="13">
        <f t="shared" si="4"/>
        <v>1.331</v>
      </c>
    </row>
    <row r="73" spans="1:20" ht="15.75" x14ac:dyDescent="0.25">
      <c r="A73" s="4">
        <v>34</v>
      </c>
      <c r="B73" s="46" t="s">
        <v>18</v>
      </c>
      <c r="C73" s="47"/>
      <c r="D73" s="47"/>
      <c r="E73" s="47"/>
      <c r="F73" s="47"/>
      <c r="G73" s="11"/>
      <c r="H73" s="6"/>
      <c r="I73" s="7"/>
      <c r="J73" s="5"/>
      <c r="K73" s="5">
        <v>1</v>
      </c>
      <c r="L73" s="48">
        <v>800</v>
      </c>
      <c r="M73" s="49"/>
      <c r="N73" s="48">
        <v>850</v>
      </c>
      <c r="O73" s="49"/>
      <c r="P73" s="10" t="s">
        <v>16</v>
      </c>
      <c r="Q73" s="12">
        <v>1100</v>
      </c>
      <c r="R73" s="12">
        <v>1100</v>
      </c>
      <c r="S73" s="12">
        <v>1100</v>
      </c>
      <c r="T73" s="13">
        <f t="shared" si="4"/>
        <v>1.331</v>
      </c>
    </row>
    <row r="74" spans="1:20" ht="15.75" x14ac:dyDescent="0.25">
      <c r="A74" s="4">
        <v>35</v>
      </c>
      <c r="B74" s="46" t="s">
        <v>18</v>
      </c>
      <c r="C74" s="47"/>
      <c r="D74" s="47"/>
      <c r="E74" s="47"/>
      <c r="F74" s="47"/>
      <c r="G74" s="11"/>
      <c r="H74" s="6"/>
      <c r="I74" s="7"/>
      <c r="J74" s="5"/>
      <c r="K74" s="5">
        <v>1</v>
      </c>
      <c r="L74" s="48">
        <v>800</v>
      </c>
      <c r="M74" s="49"/>
      <c r="N74" s="48">
        <v>850</v>
      </c>
      <c r="O74" s="49"/>
      <c r="P74" s="10" t="s">
        <v>16</v>
      </c>
      <c r="Q74" s="12">
        <v>1100</v>
      </c>
      <c r="R74" s="12">
        <v>1100</v>
      </c>
      <c r="S74" s="12">
        <v>1100</v>
      </c>
      <c r="T74" s="13">
        <f t="shared" si="4"/>
        <v>1.331</v>
      </c>
    </row>
    <row r="75" spans="1:20" ht="15.75" x14ac:dyDescent="0.25">
      <c r="A75" s="4">
        <v>36</v>
      </c>
      <c r="B75" s="46" t="s">
        <v>40</v>
      </c>
      <c r="C75" s="47"/>
      <c r="D75" s="47"/>
      <c r="E75" s="47"/>
      <c r="F75" s="47"/>
      <c r="G75" s="11"/>
      <c r="H75" s="6"/>
      <c r="I75" s="7"/>
      <c r="J75" s="5"/>
      <c r="K75" s="5">
        <v>1</v>
      </c>
      <c r="L75" s="48">
        <v>800</v>
      </c>
      <c r="M75" s="49"/>
      <c r="N75" s="48">
        <v>850</v>
      </c>
      <c r="O75" s="49"/>
      <c r="P75" s="10" t="s">
        <v>16</v>
      </c>
      <c r="Q75" s="12">
        <v>1100</v>
      </c>
      <c r="R75" s="12">
        <v>1100</v>
      </c>
      <c r="S75" s="12">
        <v>1100</v>
      </c>
      <c r="T75" s="13">
        <f t="shared" si="4"/>
        <v>1.331</v>
      </c>
    </row>
    <row r="76" spans="1:20" ht="15.75" x14ac:dyDescent="0.25">
      <c r="A76" s="4">
        <v>37</v>
      </c>
      <c r="B76" s="46" t="s">
        <v>40</v>
      </c>
      <c r="C76" s="47"/>
      <c r="D76" s="47"/>
      <c r="E76" s="47"/>
      <c r="F76" s="47"/>
      <c r="G76" s="11"/>
      <c r="H76" s="6"/>
      <c r="I76" s="7"/>
      <c r="J76" s="5"/>
      <c r="K76" s="5">
        <v>1</v>
      </c>
      <c r="L76" s="48">
        <v>800</v>
      </c>
      <c r="M76" s="49"/>
      <c r="N76" s="48">
        <v>850</v>
      </c>
      <c r="O76" s="49"/>
      <c r="P76" s="10" t="s">
        <v>16</v>
      </c>
      <c r="Q76" s="12">
        <v>1100</v>
      </c>
      <c r="R76" s="12">
        <v>1100</v>
      </c>
      <c r="S76" s="12">
        <v>1100</v>
      </c>
      <c r="T76" s="13">
        <f t="shared" si="4"/>
        <v>1.331</v>
      </c>
    </row>
    <row r="77" spans="1:20" ht="15.75" x14ac:dyDescent="0.25">
      <c r="A77" s="4">
        <v>38</v>
      </c>
      <c r="B77" s="46" t="s">
        <v>44</v>
      </c>
      <c r="C77" s="47"/>
      <c r="D77" s="47"/>
      <c r="E77" s="47"/>
      <c r="F77" s="47"/>
      <c r="G77" s="6"/>
      <c r="H77" s="6"/>
      <c r="I77" s="7"/>
      <c r="J77" s="5"/>
      <c r="K77" s="5">
        <v>1</v>
      </c>
      <c r="L77" s="60">
        <v>3625</v>
      </c>
      <c r="M77" s="61"/>
      <c r="N77" s="60">
        <v>3625</v>
      </c>
      <c r="O77" s="61"/>
      <c r="P77" s="10" t="s">
        <v>43</v>
      </c>
      <c r="Q77" s="12">
        <v>1645</v>
      </c>
      <c r="R77" s="12">
        <v>2100</v>
      </c>
      <c r="S77" s="12">
        <v>2450</v>
      </c>
      <c r="T77" s="12">
        <f t="shared" si="4"/>
        <v>8.4635250000000006</v>
      </c>
    </row>
    <row r="78" spans="1:20" s="27" customFormat="1" ht="15.75" x14ac:dyDescent="0.25">
      <c r="A78" s="20">
        <v>1</v>
      </c>
      <c r="B78" s="66" t="s">
        <v>42</v>
      </c>
      <c r="C78" s="67"/>
      <c r="D78" s="67"/>
      <c r="E78" s="67"/>
      <c r="F78" s="67"/>
      <c r="G78" s="21"/>
      <c r="H78" s="21"/>
      <c r="I78" s="22"/>
      <c r="J78" s="23"/>
      <c r="K78" s="23">
        <v>1</v>
      </c>
      <c r="L78" s="68" t="s">
        <v>41</v>
      </c>
      <c r="M78" s="69"/>
      <c r="N78" s="68">
        <v>61000</v>
      </c>
      <c r="O78" s="69"/>
      <c r="P78" s="24" t="s">
        <v>20</v>
      </c>
      <c r="Q78" s="25">
        <v>5420</v>
      </c>
      <c r="R78" s="25">
        <v>2470</v>
      </c>
      <c r="S78" s="25">
        <v>3715</v>
      </c>
      <c r="T78" s="26">
        <f>Q78*R78*S78/1000000000</f>
        <v>49.734191000000003</v>
      </c>
    </row>
    <row r="79" spans="1:20" ht="15.75" x14ac:dyDescent="0.25">
      <c r="A79" s="4">
        <v>2</v>
      </c>
      <c r="B79" s="46" t="s">
        <v>10</v>
      </c>
      <c r="C79" s="47"/>
      <c r="D79" s="47"/>
      <c r="E79" s="47"/>
      <c r="F79" s="47"/>
      <c r="G79" s="6"/>
      <c r="H79" s="6"/>
      <c r="I79" s="7"/>
      <c r="J79" s="5"/>
      <c r="K79" s="5">
        <v>1</v>
      </c>
      <c r="L79" s="48">
        <v>798</v>
      </c>
      <c r="M79" s="49"/>
      <c r="N79" s="48">
        <f>L79+792</f>
        <v>1590</v>
      </c>
      <c r="O79" s="49"/>
      <c r="P79" s="10" t="s">
        <v>21</v>
      </c>
      <c r="Q79" s="12">
        <v>3310</v>
      </c>
      <c r="R79" s="12">
        <v>1640</v>
      </c>
      <c r="S79" s="12">
        <v>2200</v>
      </c>
      <c r="T79" s="13">
        <f t="shared" ref="T79:T96" si="5">Q79*R79*S79/1000000000</f>
        <v>11.94248</v>
      </c>
    </row>
    <row r="80" spans="1:20" ht="15.75" x14ac:dyDescent="0.25">
      <c r="A80" s="4">
        <v>3</v>
      </c>
      <c r="B80" s="46" t="s">
        <v>11</v>
      </c>
      <c r="C80" s="47"/>
      <c r="D80" s="47"/>
      <c r="E80" s="47"/>
      <c r="F80" s="47"/>
      <c r="G80" s="6"/>
      <c r="H80" s="6"/>
      <c r="I80" s="7"/>
      <c r="J80" s="5"/>
      <c r="K80" s="5">
        <v>1</v>
      </c>
      <c r="L80" s="48">
        <v>705</v>
      </c>
      <c r="M80" s="49"/>
      <c r="N80" s="48">
        <f>L80+340</f>
        <v>1045</v>
      </c>
      <c r="O80" s="49"/>
      <c r="P80" s="10" t="s">
        <v>22</v>
      </c>
      <c r="Q80" s="12">
        <v>2710</v>
      </c>
      <c r="R80" s="12">
        <v>1940</v>
      </c>
      <c r="S80" s="12">
        <v>690</v>
      </c>
      <c r="T80" s="13">
        <f t="shared" si="5"/>
        <v>3.6276060000000001</v>
      </c>
    </row>
    <row r="81" spans="1:20" ht="15.75" x14ac:dyDescent="0.25">
      <c r="A81" s="4">
        <v>4</v>
      </c>
      <c r="B81" s="46" t="s">
        <v>24</v>
      </c>
      <c r="C81" s="47"/>
      <c r="D81" s="47"/>
      <c r="E81" s="47"/>
      <c r="F81" s="47"/>
      <c r="G81" s="6"/>
      <c r="H81" s="6"/>
      <c r="I81" s="7"/>
      <c r="J81" s="5"/>
      <c r="K81" s="5">
        <v>1</v>
      </c>
      <c r="L81" s="48">
        <v>646</v>
      </c>
      <c r="M81" s="49"/>
      <c r="N81" s="48">
        <f t="shared" ref="N81:N87" si="6">L81+388</f>
        <v>1034</v>
      </c>
      <c r="O81" s="49"/>
      <c r="P81" s="10" t="s">
        <v>39</v>
      </c>
      <c r="Q81" s="12">
        <v>2250</v>
      </c>
      <c r="R81" s="12">
        <v>1540</v>
      </c>
      <c r="S81" s="12">
        <v>1330</v>
      </c>
      <c r="T81" s="13">
        <f t="shared" si="5"/>
        <v>4.6084500000000004</v>
      </c>
    </row>
    <row r="82" spans="1:20" ht="15.75" x14ac:dyDescent="0.25">
      <c r="A82" s="4">
        <v>5</v>
      </c>
      <c r="B82" s="46" t="s">
        <v>24</v>
      </c>
      <c r="C82" s="47"/>
      <c r="D82" s="47"/>
      <c r="E82" s="47"/>
      <c r="F82" s="47"/>
      <c r="G82" s="6"/>
      <c r="H82" s="6"/>
      <c r="I82" s="7"/>
      <c r="J82" s="5"/>
      <c r="K82" s="5">
        <v>1</v>
      </c>
      <c r="L82" s="48">
        <v>646</v>
      </c>
      <c r="M82" s="49"/>
      <c r="N82" s="48">
        <f t="shared" si="6"/>
        <v>1034</v>
      </c>
      <c r="O82" s="49"/>
      <c r="P82" s="10" t="s">
        <v>39</v>
      </c>
      <c r="Q82" s="12">
        <v>2250</v>
      </c>
      <c r="R82" s="12">
        <v>1540</v>
      </c>
      <c r="S82" s="12">
        <v>1330</v>
      </c>
      <c r="T82" s="13">
        <f t="shared" si="5"/>
        <v>4.6084500000000004</v>
      </c>
    </row>
    <row r="83" spans="1:20" ht="15.75" x14ac:dyDescent="0.25">
      <c r="A83" s="4">
        <v>6</v>
      </c>
      <c r="B83" s="46" t="s">
        <v>24</v>
      </c>
      <c r="C83" s="47"/>
      <c r="D83" s="47"/>
      <c r="E83" s="47"/>
      <c r="F83" s="47"/>
      <c r="G83" s="6"/>
      <c r="H83" s="6"/>
      <c r="I83" s="7"/>
      <c r="J83" s="5"/>
      <c r="K83" s="5">
        <v>1</v>
      </c>
      <c r="L83" s="48">
        <v>646</v>
      </c>
      <c r="M83" s="49"/>
      <c r="N83" s="48">
        <f t="shared" si="6"/>
        <v>1034</v>
      </c>
      <c r="O83" s="49"/>
      <c r="P83" s="10" t="s">
        <v>39</v>
      </c>
      <c r="Q83" s="12">
        <v>2250</v>
      </c>
      <c r="R83" s="12">
        <v>1540</v>
      </c>
      <c r="S83" s="12">
        <v>1330</v>
      </c>
      <c r="T83" s="13">
        <f t="shared" si="5"/>
        <v>4.6084500000000004</v>
      </c>
    </row>
    <row r="84" spans="1:20" ht="15.75" x14ac:dyDescent="0.25">
      <c r="A84" s="4">
        <v>7</v>
      </c>
      <c r="B84" s="46" t="s">
        <v>24</v>
      </c>
      <c r="C84" s="47"/>
      <c r="D84" s="47"/>
      <c r="E84" s="47"/>
      <c r="F84" s="47"/>
      <c r="G84" s="6"/>
      <c r="H84" s="6"/>
      <c r="I84" s="7"/>
      <c r="J84" s="5"/>
      <c r="K84" s="5">
        <v>1</v>
      </c>
      <c r="L84" s="48">
        <v>646</v>
      </c>
      <c r="M84" s="49"/>
      <c r="N84" s="48">
        <f t="shared" si="6"/>
        <v>1034</v>
      </c>
      <c r="O84" s="49"/>
      <c r="P84" s="10" t="s">
        <v>39</v>
      </c>
      <c r="Q84" s="12">
        <v>2250</v>
      </c>
      <c r="R84" s="12">
        <v>1540</v>
      </c>
      <c r="S84" s="12">
        <v>1330</v>
      </c>
      <c r="T84" s="13">
        <f t="shared" si="5"/>
        <v>4.6084500000000004</v>
      </c>
    </row>
    <row r="85" spans="1:20" ht="15.75" x14ac:dyDescent="0.25">
      <c r="A85" s="4">
        <v>8</v>
      </c>
      <c r="B85" s="46" t="s">
        <v>24</v>
      </c>
      <c r="C85" s="47"/>
      <c r="D85" s="47"/>
      <c r="E85" s="47"/>
      <c r="F85" s="47"/>
      <c r="G85" s="6"/>
      <c r="H85" s="6"/>
      <c r="I85" s="7"/>
      <c r="J85" s="5"/>
      <c r="K85" s="5">
        <v>1</v>
      </c>
      <c r="L85" s="48">
        <v>646</v>
      </c>
      <c r="M85" s="49"/>
      <c r="N85" s="48">
        <f t="shared" si="6"/>
        <v>1034</v>
      </c>
      <c r="O85" s="49"/>
      <c r="P85" s="10" t="s">
        <v>39</v>
      </c>
      <c r="Q85" s="12">
        <v>2250</v>
      </c>
      <c r="R85" s="12">
        <v>1540</v>
      </c>
      <c r="S85" s="12">
        <v>1330</v>
      </c>
      <c r="T85" s="13">
        <f t="shared" si="5"/>
        <v>4.6084500000000004</v>
      </c>
    </row>
    <row r="86" spans="1:20" ht="15.75" x14ac:dyDescent="0.25">
      <c r="A86" s="4">
        <v>9</v>
      </c>
      <c r="B86" s="46" t="s">
        <v>24</v>
      </c>
      <c r="C86" s="47"/>
      <c r="D86" s="47"/>
      <c r="E86" s="47"/>
      <c r="F86" s="47"/>
      <c r="G86" s="6"/>
      <c r="H86" s="6"/>
      <c r="I86" s="7"/>
      <c r="J86" s="5"/>
      <c r="K86" s="5">
        <v>1</v>
      </c>
      <c r="L86" s="48">
        <v>646</v>
      </c>
      <c r="M86" s="49"/>
      <c r="N86" s="48">
        <f t="shared" si="6"/>
        <v>1034</v>
      </c>
      <c r="O86" s="49"/>
      <c r="P86" s="10" t="s">
        <v>39</v>
      </c>
      <c r="Q86" s="12">
        <v>2250</v>
      </c>
      <c r="R86" s="12">
        <v>1540</v>
      </c>
      <c r="S86" s="12">
        <v>1330</v>
      </c>
      <c r="T86" s="13">
        <f t="shared" si="5"/>
        <v>4.6084500000000004</v>
      </c>
    </row>
    <row r="87" spans="1:20" ht="15.75" x14ac:dyDescent="0.25">
      <c r="A87" s="4">
        <v>10</v>
      </c>
      <c r="B87" s="46" t="s">
        <v>24</v>
      </c>
      <c r="C87" s="47"/>
      <c r="D87" s="47"/>
      <c r="E87" s="47"/>
      <c r="F87" s="47"/>
      <c r="G87" s="6"/>
      <c r="H87" s="6"/>
      <c r="I87" s="7"/>
      <c r="J87" s="5"/>
      <c r="K87" s="5">
        <v>1</v>
      </c>
      <c r="L87" s="48">
        <v>646</v>
      </c>
      <c r="M87" s="49"/>
      <c r="N87" s="48">
        <f t="shared" si="6"/>
        <v>1034</v>
      </c>
      <c r="O87" s="49"/>
      <c r="P87" s="10" t="s">
        <v>39</v>
      </c>
      <c r="Q87" s="12">
        <v>2250</v>
      </c>
      <c r="R87" s="12">
        <v>1540</v>
      </c>
      <c r="S87" s="12">
        <v>1330</v>
      </c>
      <c r="T87" s="13">
        <f t="shared" si="5"/>
        <v>4.6084500000000004</v>
      </c>
    </row>
    <row r="88" spans="1:20" ht="15.75" x14ac:dyDescent="0.25">
      <c r="A88" s="4">
        <v>11</v>
      </c>
      <c r="B88" s="46" t="s">
        <v>23</v>
      </c>
      <c r="C88" s="47"/>
      <c r="D88" s="47"/>
      <c r="E88" s="47"/>
      <c r="F88" s="47"/>
      <c r="G88" s="6"/>
      <c r="H88" s="6"/>
      <c r="I88" s="7"/>
      <c r="J88" s="5"/>
      <c r="K88" s="5">
        <v>1</v>
      </c>
      <c r="L88" s="48">
        <v>175</v>
      </c>
      <c r="M88" s="49"/>
      <c r="N88" s="48">
        <v>275</v>
      </c>
      <c r="O88" s="49"/>
      <c r="P88" s="10" t="s">
        <v>17</v>
      </c>
      <c r="Q88" s="12">
        <v>2240</v>
      </c>
      <c r="R88" s="12">
        <v>705</v>
      </c>
      <c r="S88" s="12">
        <v>775</v>
      </c>
      <c r="T88" s="13">
        <f t="shared" si="5"/>
        <v>1.2238800000000001</v>
      </c>
    </row>
    <row r="89" spans="1:20" ht="15.75" x14ac:dyDescent="0.25">
      <c r="A89" s="4">
        <v>12</v>
      </c>
      <c r="B89" s="46" t="s">
        <v>23</v>
      </c>
      <c r="C89" s="47"/>
      <c r="D89" s="47"/>
      <c r="E89" s="47"/>
      <c r="F89" s="47"/>
      <c r="G89" s="6"/>
      <c r="H89" s="6"/>
      <c r="I89" s="7"/>
      <c r="J89" s="5"/>
      <c r="K89" s="5">
        <v>1</v>
      </c>
      <c r="L89" s="48">
        <v>175</v>
      </c>
      <c r="M89" s="49"/>
      <c r="N89" s="48">
        <v>275</v>
      </c>
      <c r="O89" s="49"/>
      <c r="P89" s="10" t="s">
        <v>17</v>
      </c>
      <c r="Q89" s="12">
        <v>2240</v>
      </c>
      <c r="R89" s="12">
        <v>705</v>
      </c>
      <c r="S89" s="12">
        <v>775</v>
      </c>
      <c r="T89" s="13">
        <f t="shared" si="5"/>
        <v>1.2238800000000001</v>
      </c>
    </row>
    <row r="90" spans="1:20" ht="15.75" x14ac:dyDescent="0.25">
      <c r="A90" s="4">
        <v>13</v>
      </c>
      <c r="B90" s="46" t="s">
        <v>25</v>
      </c>
      <c r="C90" s="47"/>
      <c r="D90" s="47"/>
      <c r="E90" s="47"/>
      <c r="F90" s="47"/>
      <c r="G90" s="6"/>
      <c r="H90" s="6"/>
      <c r="I90" s="7"/>
      <c r="J90" s="5"/>
      <c r="K90" s="5">
        <v>1</v>
      </c>
      <c r="L90" s="48">
        <v>135</v>
      </c>
      <c r="M90" s="49"/>
      <c r="N90" s="48">
        <f>L90+172</f>
        <v>307</v>
      </c>
      <c r="O90" s="49"/>
      <c r="P90" s="10" t="s">
        <v>27</v>
      </c>
      <c r="Q90" s="12">
        <v>1140</v>
      </c>
      <c r="R90" s="12">
        <v>1220</v>
      </c>
      <c r="S90" s="12">
        <v>1160</v>
      </c>
      <c r="T90" s="13">
        <f t="shared" si="5"/>
        <v>1.6133280000000001</v>
      </c>
    </row>
    <row r="91" spans="1:20" ht="15.75" x14ac:dyDescent="0.25">
      <c r="A91" s="4">
        <v>14</v>
      </c>
      <c r="B91" s="46" t="s">
        <v>25</v>
      </c>
      <c r="C91" s="47"/>
      <c r="D91" s="47"/>
      <c r="E91" s="47"/>
      <c r="F91" s="47"/>
      <c r="G91" s="6"/>
      <c r="H91" s="6"/>
      <c r="I91" s="7"/>
      <c r="J91" s="5"/>
      <c r="K91" s="5">
        <v>1</v>
      </c>
      <c r="L91" s="48">
        <v>135</v>
      </c>
      <c r="M91" s="49"/>
      <c r="N91" s="48">
        <f>L91+172</f>
        <v>307</v>
      </c>
      <c r="O91" s="49"/>
      <c r="P91" s="10" t="s">
        <v>27</v>
      </c>
      <c r="Q91" s="12">
        <v>1140</v>
      </c>
      <c r="R91" s="12">
        <v>1220</v>
      </c>
      <c r="S91" s="12">
        <v>1160</v>
      </c>
      <c r="T91" s="13">
        <f t="shared" si="5"/>
        <v>1.6133280000000001</v>
      </c>
    </row>
    <row r="92" spans="1:20" ht="15.75" x14ac:dyDescent="0.25">
      <c r="A92" s="4">
        <v>15</v>
      </c>
      <c r="B92" s="46" t="s">
        <v>25</v>
      </c>
      <c r="C92" s="47"/>
      <c r="D92" s="47"/>
      <c r="E92" s="47"/>
      <c r="F92" s="47"/>
      <c r="G92" s="6"/>
      <c r="H92" s="6"/>
      <c r="I92" s="7"/>
      <c r="J92" s="5"/>
      <c r="K92" s="5">
        <v>1</v>
      </c>
      <c r="L92" s="48">
        <v>135</v>
      </c>
      <c r="M92" s="49"/>
      <c r="N92" s="48">
        <f>L92+172</f>
        <v>307</v>
      </c>
      <c r="O92" s="49"/>
      <c r="P92" s="10" t="s">
        <v>27</v>
      </c>
      <c r="Q92" s="12">
        <v>1140</v>
      </c>
      <c r="R92" s="12">
        <v>1220</v>
      </c>
      <c r="S92" s="12">
        <v>1160</v>
      </c>
      <c r="T92" s="13">
        <f t="shared" si="5"/>
        <v>1.6133280000000001</v>
      </c>
    </row>
    <row r="93" spans="1:20" ht="15.75" x14ac:dyDescent="0.25">
      <c r="A93" s="4">
        <v>16</v>
      </c>
      <c r="B93" s="46" t="s">
        <v>26</v>
      </c>
      <c r="C93" s="47"/>
      <c r="D93" s="47"/>
      <c r="E93" s="47"/>
      <c r="F93" s="47"/>
      <c r="G93" s="6"/>
      <c r="H93" s="6"/>
      <c r="I93" s="7"/>
      <c r="J93" s="5"/>
      <c r="K93" s="5">
        <v>1</v>
      </c>
      <c r="L93" s="48">
        <v>85</v>
      </c>
      <c r="M93" s="49"/>
      <c r="N93" s="48">
        <f>L93+172</f>
        <v>257</v>
      </c>
      <c r="O93" s="49"/>
      <c r="P93" s="10" t="s">
        <v>27</v>
      </c>
      <c r="Q93" s="12">
        <v>1140</v>
      </c>
      <c r="R93" s="12">
        <v>1220</v>
      </c>
      <c r="S93" s="12">
        <v>1160</v>
      </c>
      <c r="T93" s="13">
        <f t="shared" si="5"/>
        <v>1.6133280000000001</v>
      </c>
    </row>
    <row r="94" spans="1:20" ht="15.75" x14ac:dyDescent="0.25">
      <c r="A94" s="4">
        <v>17</v>
      </c>
      <c r="B94" s="46" t="s">
        <v>28</v>
      </c>
      <c r="C94" s="47"/>
      <c r="D94" s="47"/>
      <c r="E94" s="47"/>
      <c r="F94" s="47"/>
      <c r="G94" s="6"/>
      <c r="H94" s="6"/>
      <c r="I94" s="7"/>
      <c r="J94" s="5"/>
      <c r="K94" s="5">
        <v>1</v>
      </c>
      <c r="L94" s="48">
        <v>140</v>
      </c>
      <c r="M94" s="49"/>
      <c r="N94" s="48">
        <v>410</v>
      </c>
      <c r="O94" s="49"/>
      <c r="P94" s="10" t="s">
        <v>29</v>
      </c>
      <c r="Q94" s="12">
        <v>4020</v>
      </c>
      <c r="R94" s="12">
        <v>690</v>
      </c>
      <c r="S94" s="12">
        <v>620</v>
      </c>
      <c r="T94" s="13">
        <f t="shared" si="5"/>
        <v>1.7197560000000001</v>
      </c>
    </row>
    <row r="95" spans="1:20" ht="15.75" x14ac:dyDescent="0.25">
      <c r="A95" s="4">
        <v>18</v>
      </c>
      <c r="B95" s="46" t="s">
        <v>28</v>
      </c>
      <c r="C95" s="47"/>
      <c r="D95" s="47"/>
      <c r="E95" s="47"/>
      <c r="F95" s="47"/>
      <c r="G95" s="6"/>
      <c r="H95" s="6"/>
      <c r="I95" s="7"/>
      <c r="J95" s="5"/>
      <c r="K95" s="5">
        <v>1</v>
      </c>
      <c r="L95" s="48">
        <v>140</v>
      </c>
      <c r="M95" s="49"/>
      <c r="N95" s="48">
        <v>410</v>
      </c>
      <c r="O95" s="49"/>
      <c r="P95" s="10" t="s">
        <v>29</v>
      </c>
      <c r="Q95" s="12">
        <v>4020</v>
      </c>
      <c r="R95" s="12">
        <v>690</v>
      </c>
      <c r="S95" s="12">
        <v>620</v>
      </c>
      <c r="T95" s="13">
        <f t="shared" si="5"/>
        <v>1.7197560000000001</v>
      </c>
    </row>
    <row r="96" spans="1:20" ht="15.75" x14ac:dyDescent="0.25">
      <c r="A96" s="4">
        <v>19</v>
      </c>
      <c r="B96" s="46" t="s">
        <v>28</v>
      </c>
      <c r="C96" s="47"/>
      <c r="D96" s="47"/>
      <c r="E96" s="47"/>
      <c r="F96" s="47"/>
      <c r="G96" s="6"/>
      <c r="H96" s="6"/>
      <c r="I96" s="7"/>
      <c r="J96" s="5"/>
      <c r="K96" s="5">
        <v>1</v>
      </c>
      <c r="L96" s="48">
        <v>140</v>
      </c>
      <c r="M96" s="49"/>
      <c r="N96" s="48">
        <v>410</v>
      </c>
      <c r="O96" s="49"/>
      <c r="P96" s="10" t="s">
        <v>29</v>
      </c>
      <c r="Q96" s="12">
        <v>4020</v>
      </c>
      <c r="R96" s="12">
        <v>690</v>
      </c>
      <c r="S96" s="12">
        <v>620</v>
      </c>
      <c r="T96" s="13">
        <f t="shared" si="5"/>
        <v>1.7197560000000001</v>
      </c>
    </row>
    <row r="97" spans="1:20" ht="15.75" x14ac:dyDescent="0.25">
      <c r="A97" s="8">
        <v>20</v>
      </c>
      <c r="B97" s="46" t="s">
        <v>30</v>
      </c>
      <c r="C97" s="47"/>
      <c r="D97" s="47"/>
      <c r="E97" s="47"/>
      <c r="F97" s="47"/>
      <c r="G97" s="6"/>
      <c r="H97" s="6"/>
      <c r="I97" s="7"/>
      <c r="J97" s="5"/>
      <c r="K97" s="5">
        <v>1</v>
      </c>
      <c r="L97" s="48">
        <v>140</v>
      </c>
      <c r="M97" s="49"/>
      <c r="N97" s="48">
        <v>230</v>
      </c>
      <c r="O97" s="49"/>
      <c r="P97" s="10" t="s">
        <v>31</v>
      </c>
      <c r="Q97" s="12">
        <v>800</v>
      </c>
      <c r="R97" s="12">
        <v>2290</v>
      </c>
      <c r="S97" s="12">
        <v>590</v>
      </c>
      <c r="T97" s="13">
        <f>R97*Q97*S97/1000000000</f>
        <v>1.0808800000000001</v>
      </c>
    </row>
    <row r="98" spans="1:20" ht="15.75" x14ac:dyDescent="0.25">
      <c r="A98" s="4">
        <v>21</v>
      </c>
      <c r="B98" s="46" t="s">
        <v>32</v>
      </c>
      <c r="C98" s="47"/>
      <c r="D98" s="47"/>
      <c r="E98" s="47"/>
      <c r="F98" s="47"/>
      <c r="G98" s="6"/>
      <c r="H98" s="6"/>
      <c r="I98" s="7"/>
      <c r="J98" s="5"/>
      <c r="K98" s="5">
        <v>1</v>
      </c>
      <c r="L98" s="48">
        <v>140</v>
      </c>
      <c r="M98" s="49"/>
      <c r="N98" s="48">
        <v>410</v>
      </c>
      <c r="O98" s="49"/>
      <c r="P98" s="10" t="s">
        <v>29</v>
      </c>
      <c r="Q98" s="12">
        <v>4020</v>
      </c>
      <c r="R98" s="12">
        <v>690</v>
      </c>
      <c r="S98" s="12">
        <v>620</v>
      </c>
      <c r="T98" s="13">
        <f t="shared" ref="T98:T115" si="7">Q98*R98*S98/1000000000</f>
        <v>1.7197560000000001</v>
      </c>
    </row>
    <row r="99" spans="1:20" ht="15.75" x14ac:dyDescent="0.25">
      <c r="A99" s="4">
        <v>22</v>
      </c>
      <c r="B99" s="46" t="s">
        <v>32</v>
      </c>
      <c r="C99" s="47"/>
      <c r="D99" s="47"/>
      <c r="E99" s="47"/>
      <c r="F99" s="47"/>
      <c r="G99" s="6"/>
      <c r="H99" s="6"/>
      <c r="I99" s="7"/>
      <c r="J99" s="5"/>
      <c r="K99" s="5">
        <v>1</v>
      </c>
      <c r="L99" s="48">
        <v>140</v>
      </c>
      <c r="M99" s="49"/>
      <c r="N99" s="48">
        <v>410</v>
      </c>
      <c r="O99" s="49"/>
      <c r="P99" s="10" t="s">
        <v>29</v>
      </c>
      <c r="Q99" s="12">
        <v>4020</v>
      </c>
      <c r="R99" s="12">
        <v>690</v>
      </c>
      <c r="S99" s="12">
        <v>620</v>
      </c>
      <c r="T99" s="13">
        <f t="shared" si="7"/>
        <v>1.7197560000000001</v>
      </c>
    </row>
    <row r="100" spans="1:20" ht="15.75" x14ac:dyDescent="0.25">
      <c r="A100" s="4">
        <v>23</v>
      </c>
      <c r="B100" s="46" t="s">
        <v>32</v>
      </c>
      <c r="C100" s="47"/>
      <c r="D100" s="47"/>
      <c r="E100" s="47"/>
      <c r="F100" s="47"/>
      <c r="G100" s="6"/>
      <c r="H100" s="6"/>
      <c r="I100" s="7"/>
      <c r="J100" s="5"/>
      <c r="K100" s="5">
        <v>1</v>
      </c>
      <c r="L100" s="48">
        <v>140</v>
      </c>
      <c r="M100" s="49"/>
      <c r="N100" s="48">
        <v>410</v>
      </c>
      <c r="O100" s="49"/>
      <c r="P100" s="10" t="s">
        <v>29</v>
      </c>
      <c r="Q100" s="12">
        <v>4020</v>
      </c>
      <c r="R100" s="12">
        <v>690</v>
      </c>
      <c r="S100" s="12">
        <v>620</v>
      </c>
      <c r="T100" s="13">
        <f t="shared" si="7"/>
        <v>1.7197560000000001</v>
      </c>
    </row>
    <row r="101" spans="1:20" ht="15.75" x14ac:dyDescent="0.25">
      <c r="A101" s="4">
        <v>24</v>
      </c>
      <c r="B101" s="46" t="s">
        <v>33</v>
      </c>
      <c r="C101" s="47"/>
      <c r="D101" s="47"/>
      <c r="E101" s="47"/>
      <c r="F101" s="50"/>
      <c r="G101" s="6"/>
      <c r="H101" s="6"/>
      <c r="I101" s="7"/>
      <c r="J101" s="5"/>
      <c r="K101" s="5">
        <v>1</v>
      </c>
      <c r="L101" s="48">
        <v>200</v>
      </c>
      <c r="M101" s="49"/>
      <c r="N101" s="48">
        <v>300</v>
      </c>
      <c r="O101" s="49"/>
      <c r="P101" s="10" t="s">
        <v>34</v>
      </c>
      <c r="Q101" s="12">
        <v>1510</v>
      </c>
      <c r="R101" s="12">
        <v>1086</v>
      </c>
      <c r="S101" s="12">
        <v>453</v>
      </c>
      <c r="T101" s="13">
        <f t="shared" si="7"/>
        <v>0.74285657999999999</v>
      </c>
    </row>
    <row r="102" spans="1:20" ht="15.75" x14ac:dyDescent="0.25">
      <c r="A102" s="4">
        <v>25</v>
      </c>
      <c r="B102" s="46" t="s">
        <v>13</v>
      </c>
      <c r="C102" s="47"/>
      <c r="D102" s="47"/>
      <c r="E102" s="47"/>
      <c r="F102" s="47"/>
      <c r="G102" s="6"/>
      <c r="H102" s="6"/>
      <c r="I102" s="7"/>
      <c r="J102" s="5"/>
      <c r="K102" s="5">
        <v>1</v>
      </c>
      <c r="L102" s="48">
        <v>58</v>
      </c>
      <c r="M102" s="49"/>
      <c r="N102" s="48">
        <f>L102+337</f>
        <v>395</v>
      </c>
      <c r="O102" s="49"/>
      <c r="P102" s="10" t="s">
        <v>36</v>
      </c>
      <c r="Q102" s="12">
        <v>3610</v>
      </c>
      <c r="R102" s="12">
        <v>1180</v>
      </c>
      <c r="S102" s="12">
        <v>1210</v>
      </c>
      <c r="T102" s="13">
        <f t="shared" si="7"/>
        <v>5.1543580000000002</v>
      </c>
    </row>
    <row r="103" spans="1:20" ht="15.75" x14ac:dyDescent="0.25">
      <c r="A103" s="4">
        <v>26</v>
      </c>
      <c r="B103" s="46" t="s">
        <v>12</v>
      </c>
      <c r="C103" s="47"/>
      <c r="D103" s="47"/>
      <c r="E103" s="47"/>
      <c r="F103" s="47"/>
      <c r="G103" s="6"/>
      <c r="H103" s="6"/>
      <c r="I103" s="7"/>
      <c r="J103" s="5"/>
      <c r="K103" s="5">
        <v>1</v>
      </c>
      <c r="L103" s="48">
        <v>200</v>
      </c>
      <c r="M103" s="49"/>
      <c r="N103" s="48">
        <f>L103+542</f>
        <v>742</v>
      </c>
      <c r="O103" s="49"/>
      <c r="P103" s="10" t="s">
        <v>37</v>
      </c>
      <c r="Q103" s="12">
        <v>3490</v>
      </c>
      <c r="R103" s="12">
        <v>1940</v>
      </c>
      <c r="S103" s="12">
        <v>1470</v>
      </c>
      <c r="T103" s="13">
        <f t="shared" si="7"/>
        <v>9.9527819999999991</v>
      </c>
    </row>
    <row r="104" spans="1:20" ht="15.75" x14ac:dyDescent="0.25">
      <c r="A104" s="4">
        <v>27</v>
      </c>
      <c r="B104" s="46" t="s">
        <v>35</v>
      </c>
      <c r="C104" s="47"/>
      <c r="D104" s="47"/>
      <c r="E104" s="47"/>
      <c r="F104" s="47"/>
      <c r="G104" s="6"/>
      <c r="H104" s="6"/>
      <c r="I104" s="7"/>
      <c r="J104" s="5"/>
      <c r="K104" s="5">
        <v>1</v>
      </c>
      <c r="L104" s="48">
        <v>300</v>
      </c>
      <c r="M104" s="49"/>
      <c r="N104" s="48">
        <v>360</v>
      </c>
      <c r="O104" s="49"/>
      <c r="P104" s="10" t="s">
        <v>38</v>
      </c>
      <c r="Q104" s="12">
        <v>940</v>
      </c>
      <c r="R104" s="12">
        <v>915</v>
      </c>
      <c r="S104" s="12">
        <v>575</v>
      </c>
      <c r="T104" s="13">
        <f t="shared" si="7"/>
        <v>0.49455749999999998</v>
      </c>
    </row>
    <row r="105" spans="1:20" ht="15.75" x14ac:dyDescent="0.25">
      <c r="A105" s="4">
        <v>28</v>
      </c>
      <c r="B105" s="46" t="s">
        <v>14</v>
      </c>
      <c r="C105" s="47"/>
      <c r="D105" s="47"/>
      <c r="E105" s="47"/>
      <c r="F105" s="50"/>
      <c r="G105" s="6"/>
      <c r="H105" s="6"/>
      <c r="I105" s="7"/>
      <c r="J105" s="5"/>
      <c r="K105" s="5">
        <v>1</v>
      </c>
      <c r="L105" s="48">
        <v>150</v>
      </c>
      <c r="M105" s="49"/>
      <c r="N105" s="48">
        <v>200</v>
      </c>
      <c r="O105" s="49"/>
      <c r="P105" s="10" t="s">
        <v>15</v>
      </c>
      <c r="Q105" s="12">
        <v>1000</v>
      </c>
      <c r="R105" s="12">
        <v>630</v>
      </c>
      <c r="S105" s="12">
        <v>550</v>
      </c>
      <c r="T105" s="13">
        <f t="shared" si="7"/>
        <v>0.34649999999999997</v>
      </c>
    </row>
    <row r="106" spans="1:20" ht="15.75" x14ac:dyDescent="0.25">
      <c r="A106" s="4">
        <v>29</v>
      </c>
      <c r="B106" s="46" t="s">
        <v>19</v>
      </c>
      <c r="C106" s="47"/>
      <c r="D106" s="47"/>
      <c r="E106" s="47"/>
      <c r="F106" s="50"/>
      <c r="G106" s="6"/>
      <c r="H106" s="6"/>
      <c r="I106" s="7"/>
      <c r="J106" s="5"/>
      <c r="K106" s="5">
        <v>1</v>
      </c>
      <c r="L106" s="48">
        <v>150</v>
      </c>
      <c r="M106" s="49"/>
      <c r="N106" s="48">
        <v>200</v>
      </c>
      <c r="O106" s="49"/>
      <c r="P106" s="10" t="s">
        <v>15</v>
      </c>
      <c r="Q106" s="12">
        <v>1000</v>
      </c>
      <c r="R106" s="12">
        <v>630</v>
      </c>
      <c r="S106" s="12">
        <v>550</v>
      </c>
      <c r="T106" s="13">
        <f t="shared" si="7"/>
        <v>0.34649999999999997</v>
      </c>
    </row>
    <row r="107" spans="1:20" ht="15.75" x14ac:dyDescent="0.25">
      <c r="A107" s="4">
        <v>30</v>
      </c>
      <c r="B107" s="46" t="s">
        <v>18</v>
      </c>
      <c r="C107" s="47"/>
      <c r="D107" s="47"/>
      <c r="E107" s="47"/>
      <c r="F107" s="47"/>
      <c r="G107" s="6"/>
      <c r="H107" s="6"/>
      <c r="I107" s="7"/>
      <c r="J107" s="5"/>
      <c r="K107" s="5">
        <v>1</v>
      </c>
      <c r="L107" s="60">
        <v>800</v>
      </c>
      <c r="M107" s="61"/>
      <c r="N107" s="60">
        <v>850</v>
      </c>
      <c r="O107" s="61"/>
      <c r="P107" s="10" t="s">
        <v>16</v>
      </c>
      <c r="Q107" s="12">
        <v>1100</v>
      </c>
      <c r="R107" s="12">
        <v>1100</v>
      </c>
      <c r="S107" s="12">
        <v>1100</v>
      </c>
      <c r="T107" s="13">
        <f t="shared" si="7"/>
        <v>1.331</v>
      </c>
    </row>
    <row r="108" spans="1:20" ht="15.75" x14ac:dyDescent="0.25">
      <c r="A108" s="4">
        <v>31</v>
      </c>
      <c r="B108" s="46" t="s">
        <v>18</v>
      </c>
      <c r="C108" s="47"/>
      <c r="D108" s="47"/>
      <c r="E108" s="47"/>
      <c r="F108" s="47"/>
      <c r="G108" s="11"/>
      <c r="H108" s="6"/>
      <c r="I108" s="7"/>
      <c r="J108" s="5"/>
      <c r="K108" s="5">
        <v>1</v>
      </c>
      <c r="L108" s="48">
        <v>800</v>
      </c>
      <c r="M108" s="49"/>
      <c r="N108" s="48">
        <v>850</v>
      </c>
      <c r="O108" s="49"/>
      <c r="P108" s="10" t="s">
        <v>16</v>
      </c>
      <c r="Q108" s="12">
        <v>1100</v>
      </c>
      <c r="R108" s="12">
        <v>1100</v>
      </c>
      <c r="S108" s="12">
        <v>1100</v>
      </c>
      <c r="T108" s="13">
        <f t="shared" si="7"/>
        <v>1.331</v>
      </c>
    </row>
    <row r="109" spans="1:20" ht="15.75" x14ac:dyDescent="0.25">
      <c r="A109" s="4">
        <v>32</v>
      </c>
      <c r="B109" s="46" t="s">
        <v>18</v>
      </c>
      <c r="C109" s="47"/>
      <c r="D109" s="47"/>
      <c r="E109" s="47"/>
      <c r="F109" s="47"/>
      <c r="G109" s="11"/>
      <c r="H109" s="6"/>
      <c r="I109" s="7"/>
      <c r="J109" s="5"/>
      <c r="K109" s="5">
        <v>1</v>
      </c>
      <c r="L109" s="48">
        <v>800</v>
      </c>
      <c r="M109" s="49"/>
      <c r="N109" s="48">
        <v>850</v>
      </c>
      <c r="O109" s="49"/>
      <c r="P109" s="10" t="s">
        <v>16</v>
      </c>
      <c r="Q109" s="12">
        <v>1100</v>
      </c>
      <c r="R109" s="12">
        <v>1100</v>
      </c>
      <c r="S109" s="12">
        <v>1100</v>
      </c>
      <c r="T109" s="13">
        <f t="shared" si="7"/>
        <v>1.331</v>
      </c>
    </row>
    <row r="110" spans="1:20" ht="15.75" x14ac:dyDescent="0.25">
      <c r="A110" s="4">
        <v>33</v>
      </c>
      <c r="B110" s="46" t="s">
        <v>18</v>
      </c>
      <c r="C110" s="47"/>
      <c r="D110" s="47"/>
      <c r="E110" s="47"/>
      <c r="F110" s="47"/>
      <c r="G110" s="11"/>
      <c r="H110" s="6"/>
      <c r="I110" s="7"/>
      <c r="J110" s="5"/>
      <c r="K110" s="5">
        <v>1</v>
      </c>
      <c r="L110" s="48">
        <v>800</v>
      </c>
      <c r="M110" s="49"/>
      <c r="N110" s="48">
        <v>850</v>
      </c>
      <c r="O110" s="49"/>
      <c r="P110" s="10" t="s">
        <v>16</v>
      </c>
      <c r="Q110" s="12">
        <v>1100</v>
      </c>
      <c r="R110" s="12">
        <v>1100</v>
      </c>
      <c r="S110" s="12">
        <v>1100</v>
      </c>
      <c r="T110" s="13">
        <f t="shared" si="7"/>
        <v>1.331</v>
      </c>
    </row>
    <row r="111" spans="1:20" ht="15.75" x14ac:dyDescent="0.25">
      <c r="A111" s="4">
        <v>34</v>
      </c>
      <c r="B111" s="46" t="s">
        <v>18</v>
      </c>
      <c r="C111" s="47"/>
      <c r="D111" s="47"/>
      <c r="E111" s="47"/>
      <c r="F111" s="47"/>
      <c r="G111" s="11"/>
      <c r="H111" s="6"/>
      <c r="I111" s="7"/>
      <c r="J111" s="5"/>
      <c r="K111" s="5">
        <v>1</v>
      </c>
      <c r="L111" s="48">
        <v>800</v>
      </c>
      <c r="M111" s="49"/>
      <c r="N111" s="48">
        <v>850</v>
      </c>
      <c r="O111" s="49"/>
      <c r="P111" s="10" t="s">
        <v>16</v>
      </c>
      <c r="Q111" s="12">
        <v>1100</v>
      </c>
      <c r="R111" s="12">
        <v>1100</v>
      </c>
      <c r="S111" s="12">
        <v>1100</v>
      </c>
      <c r="T111" s="13">
        <f t="shared" si="7"/>
        <v>1.331</v>
      </c>
    </row>
    <row r="112" spans="1:20" ht="15.75" x14ac:dyDescent="0.25">
      <c r="A112" s="4">
        <v>35</v>
      </c>
      <c r="B112" s="46" t="s">
        <v>18</v>
      </c>
      <c r="C112" s="47"/>
      <c r="D112" s="47"/>
      <c r="E112" s="47"/>
      <c r="F112" s="47"/>
      <c r="G112" s="11"/>
      <c r="H112" s="6"/>
      <c r="I112" s="7"/>
      <c r="J112" s="5"/>
      <c r="K112" s="5">
        <v>1</v>
      </c>
      <c r="L112" s="48">
        <v>800</v>
      </c>
      <c r="M112" s="49"/>
      <c r="N112" s="48">
        <v>850</v>
      </c>
      <c r="O112" s="49"/>
      <c r="P112" s="10" t="s">
        <v>16</v>
      </c>
      <c r="Q112" s="12">
        <v>1100</v>
      </c>
      <c r="R112" s="12">
        <v>1100</v>
      </c>
      <c r="S112" s="12">
        <v>1100</v>
      </c>
      <c r="T112" s="13">
        <f t="shared" si="7"/>
        <v>1.331</v>
      </c>
    </row>
    <row r="113" spans="1:20" ht="15.75" x14ac:dyDescent="0.25">
      <c r="A113" s="4">
        <v>36</v>
      </c>
      <c r="B113" s="46" t="s">
        <v>40</v>
      </c>
      <c r="C113" s="47"/>
      <c r="D113" s="47"/>
      <c r="E113" s="47"/>
      <c r="F113" s="47"/>
      <c r="G113" s="11"/>
      <c r="H113" s="6"/>
      <c r="I113" s="7"/>
      <c r="J113" s="5"/>
      <c r="K113" s="5">
        <v>1</v>
      </c>
      <c r="L113" s="48">
        <v>800</v>
      </c>
      <c r="M113" s="49"/>
      <c r="N113" s="48">
        <v>850</v>
      </c>
      <c r="O113" s="49"/>
      <c r="P113" s="10" t="s">
        <v>16</v>
      </c>
      <c r="Q113" s="12">
        <v>1100</v>
      </c>
      <c r="R113" s="12">
        <v>1100</v>
      </c>
      <c r="S113" s="12">
        <v>1100</v>
      </c>
      <c r="T113" s="13">
        <f t="shared" si="7"/>
        <v>1.331</v>
      </c>
    </row>
    <row r="114" spans="1:20" ht="15.75" x14ac:dyDescent="0.25">
      <c r="A114" s="4">
        <v>37</v>
      </c>
      <c r="B114" s="46" t="s">
        <v>40</v>
      </c>
      <c r="C114" s="47"/>
      <c r="D114" s="47"/>
      <c r="E114" s="47"/>
      <c r="F114" s="47"/>
      <c r="G114" s="11"/>
      <c r="H114" s="6"/>
      <c r="I114" s="7"/>
      <c r="J114" s="5"/>
      <c r="K114" s="5">
        <v>1</v>
      </c>
      <c r="L114" s="48">
        <v>800</v>
      </c>
      <c r="M114" s="49"/>
      <c r="N114" s="48">
        <v>850</v>
      </c>
      <c r="O114" s="49"/>
      <c r="P114" s="10" t="s">
        <v>16</v>
      </c>
      <c r="Q114" s="12">
        <v>1100</v>
      </c>
      <c r="R114" s="12">
        <v>1100</v>
      </c>
      <c r="S114" s="12">
        <v>1100</v>
      </c>
      <c r="T114" s="13">
        <f t="shared" si="7"/>
        <v>1.331</v>
      </c>
    </row>
    <row r="115" spans="1:20" ht="15.75" x14ac:dyDescent="0.25">
      <c r="A115" s="4">
        <v>38</v>
      </c>
      <c r="B115" s="46" t="s">
        <v>44</v>
      </c>
      <c r="C115" s="47"/>
      <c r="D115" s="47"/>
      <c r="E115" s="47"/>
      <c r="F115" s="47"/>
      <c r="G115" s="6"/>
      <c r="H115" s="6"/>
      <c r="I115" s="7"/>
      <c r="J115" s="5"/>
      <c r="K115" s="5">
        <v>1</v>
      </c>
      <c r="L115" s="60">
        <v>3625</v>
      </c>
      <c r="M115" s="61"/>
      <c r="N115" s="60">
        <v>3625</v>
      </c>
      <c r="O115" s="61"/>
      <c r="P115" s="10" t="s">
        <v>43</v>
      </c>
      <c r="Q115" s="12">
        <v>1645</v>
      </c>
      <c r="R115" s="12">
        <v>2100</v>
      </c>
      <c r="S115" s="12">
        <v>2450</v>
      </c>
      <c r="T115" s="12">
        <f t="shared" si="7"/>
        <v>8.4635250000000006</v>
      </c>
    </row>
    <row r="116" spans="1:20" ht="15.75" x14ac:dyDescent="0.25">
      <c r="A116" s="15"/>
      <c r="B116" s="16"/>
      <c r="C116" s="16"/>
      <c r="D116" s="16"/>
      <c r="E116" s="16"/>
      <c r="F116" s="16"/>
      <c r="G116" s="17"/>
      <c r="H116" s="17"/>
      <c r="I116" s="17"/>
      <c r="J116" s="18"/>
      <c r="K116" s="18"/>
      <c r="L116" s="18"/>
      <c r="M116" s="18"/>
      <c r="N116" s="18"/>
      <c r="O116" s="18"/>
      <c r="P116" s="19"/>
      <c r="Q116" s="44"/>
      <c r="R116" s="44"/>
      <c r="S116" s="44"/>
      <c r="T116" s="12"/>
    </row>
    <row r="117" spans="1:20" ht="14.65" customHeight="1" x14ac:dyDescent="0.25">
      <c r="P117" s="14" t="s">
        <v>50</v>
      </c>
      <c r="Q117" s="70">
        <f>SUM(N2:O39)</f>
        <v>87913</v>
      </c>
      <c r="R117" s="71"/>
      <c r="S117" s="71"/>
      <c r="T117" s="72"/>
    </row>
    <row r="118" spans="1:20" ht="14.65" customHeight="1" x14ac:dyDescent="0.25">
      <c r="P118" s="14" t="s">
        <v>49</v>
      </c>
      <c r="Q118" s="70">
        <f>SUM(T2:T39)</f>
        <v>154.01299407999991</v>
      </c>
      <c r="R118" s="71"/>
      <c r="S118" s="71"/>
      <c r="T118" s="72"/>
    </row>
    <row r="119" spans="1:20" ht="14.65" customHeight="1" x14ac:dyDescent="0.25">
      <c r="P119" s="14" t="s">
        <v>51</v>
      </c>
      <c r="Q119" s="70">
        <f>SUM(K2:K39)</f>
        <v>38</v>
      </c>
      <c r="R119" s="71"/>
      <c r="S119" s="71"/>
      <c r="T119" s="72"/>
    </row>
    <row r="120" spans="1:20" x14ac:dyDescent="0.25">
      <c r="P120" s="45"/>
      <c r="Q120" s="45"/>
      <c r="R120" s="45"/>
      <c r="S120" s="45"/>
      <c r="T120" s="45"/>
    </row>
    <row r="121" spans="1:20" ht="14.65" customHeight="1" x14ac:dyDescent="0.25">
      <c r="P121" s="14" t="s">
        <v>53</v>
      </c>
      <c r="Q121" s="70">
        <f>Q117*3</f>
        <v>263739</v>
      </c>
      <c r="R121" s="71"/>
      <c r="S121" s="71"/>
      <c r="T121" s="72"/>
    </row>
    <row r="122" spans="1:20" ht="14.65" customHeight="1" x14ac:dyDescent="0.25">
      <c r="P122" s="14" t="s">
        <v>54</v>
      </c>
      <c r="Q122" s="70">
        <f>Q118*3</f>
        <v>462.03898223999977</v>
      </c>
      <c r="R122" s="71"/>
      <c r="S122" s="71"/>
      <c r="T122" s="72"/>
    </row>
    <row r="123" spans="1:20" ht="14.65" customHeight="1" x14ac:dyDescent="0.25">
      <c r="P123" s="14" t="s">
        <v>52</v>
      </c>
      <c r="Q123" s="70">
        <f>Q119*3</f>
        <v>114</v>
      </c>
      <c r="R123" s="71"/>
      <c r="S123" s="71"/>
      <c r="T123" s="72"/>
    </row>
  </sheetData>
  <sheetProtection formatColumns="0" formatRows="0"/>
  <mergeCells count="351">
    <mergeCell ref="Q121:T121"/>
    <mergeCell ref="Q122:T122"/>
    <mergeCell ref="Q123:T123"/>
    <mergeCell ref="B115:F115"/>
    <mergeCell ref="L115:M115"/>
    <mergeCell ref="N115:O115"/>
    <mergeCell ref="Q117:T117"/>
    <mergeCell ref="Q118:T118"/>
    <mergeCell ref="Q119:T119"/>
    <mergeCell ref="B112:F112"/>
    <mergeCell ref="L112:M112"/>
    <mergeCell ref="N112:O112"/>
    <mergeCell ref="B113:F113"/>
    <mergeCell ref="L113:M113"/>
    <mergeCell ref="N113:O113"/>
    <mergeCell ref="B114:F114"/>
    <mergeCell ref="L114:M114"/>
    <mergeCell ref="N114:O114"/>
    <mergeCell ref="B109:F109"/>
    <mergeCell ref="L109:M109"/>
    <mergeCell ref="N109:O109"/>
    <mergeCell ref="B110:F110"/>
    <mergeCell ref="L110:M110"/>
    <mergeCell ref="N110:O110"/>
    <mergeCell ref="B111:F111"/>
    <mergeCell ref="L111:M111"/>
    <mergeCell ref="N111:O111"/>
    <mergeCell ref="B106:F106"/>
    <mergeCell ref="L106:M106"/>
    <mergeCell ref="N106:O106"/>
    <mergeCell ref="B107:F107"/>
    <mergeCell ref="L107:M107"/>
    <mergeCell ref="N107:O107"/>
    <mergeCell ref="B108:F108"/>
    <mergeCell ref="L108:M108"/>
    <mergeCell ref="N108:O108"/>
    <mergeCell ref="B103:F103"/>
    <mergeCell ref="L103:M103"/>
    <mergeCell ref="N103:O103"/>
    <mergeCell ref="B104:F104"/>
    <mergeCell ref="L104:M104"/>
    <mergeCell ref="N104:O104"/>
    <mergeCell ref="B105:F105"/>
    <mergeCell ref="L105:M105"/>
    <mergeCell ref="N105:O105"/>
    <mergeCell ref="B100:F100"/>
    <mergeCell ref="L100:M100"/>
    <mergeCell ref="N100:O100"/>
    <mergeCell ref="B101:F101"/>
    <mergeCell ref="L101:M101"/>
    <mergeCell ref="N101:O101"/>
    <mergeCell ref="B102:F102"/>
    <mergeCell ref="L102:M102"/>
    <mergeCell ref="N102:O102"/>
    <mergeCell ref="B97:F97"/>
    <mergeCell ref="L97:M97"/>
    <mergeCell ref="N97:O97"/>
    <mergeCell ref="B98:F98"/>
    <mergeCell ref="L98:M98"/>
    <mergeCell ref="N98:O98"/>
    <mergeCell ref="B99:F99"/>
    <mergeCell ref="L99:M99"/>
    <mergeCell ref="N99:O99"/>
    <mergeCell ref="B94:F94"/>
    <mergeCell ref="L94:M94"/>
    <mergeCell ref="N94:O94"/>
    <mergeCell ref="B95:F95"/>
    <mergeCell ref="L95:M95"/>
    <mergeCell ref="N95:O95"/>
    <mergeCell ref="B96:F96"/>
    <mergeCell ref="L96:M96"/>
    <mergeCell ref="N96:O96"/>
    <mergeCell ref="B91:F91"/>
    <mergeCell ref="L91:M91"/>
    <mergeCell ref="N91:O91"/>
    <mergeCell ref="B92:F92"/>
    <mergeCell ref="L92:M92"/>
    <mergeCell ref="N92:O92"/>
    <mergeCell ref="B93:F93"/>
    <mergeCell ref="L93:M93"/>
    <mergeCell ref="N93:O93"/>
    <mergeCell ref="B88:F88"/>
    <mergeCell ref="L88:M88"/>
    <mergeCell ref="N88:O88"/>
    <mergeCell ref="B89:F89"/>
    <mergeCell ref="L89:M89"/>
    <mergeCell ref="N89:O89"/>
    <mergeCell ref="B90:F90"/>
    <mergeCell ref="L90:M90"/>
    <mergeCell ref="N90:O90"/>
    <mergeCell ref="B85:F85"/>
    <mergeCell ref="L85:M85"/>
    <mergeCell ref="N85:O85"/>
    <mergeCell ref="B86:F86"/>
    <mergeCell ref="L86:M86"/>
    <mergeCell ref="N86:O86"/>
    <mergeCell ref="B87:F87"/>
    <mergeCell ref="L87:M87"/>
    <mergeCell ref="N87:O87"/>
    <mergeCell ref="B82:F82"/>
    <mergeCell ref="L82:M82"/>
    <mergeCell ref="N82:O82"/>
    <mergeCell ref="B83:F83"/>
    <mergeCell ref="L83:M83"/>
    <mergeCell ref="N83:O83"/>
    <mergeCell ref="B84:F84"/>
    <mergeCell ref="L84:M84"/>
    <mergeCell ref="N84:O84"/>
    <mergeCell ref="B79:F79"/>
    <mergeCell ref="L79:M79"/>
    <mergeCell ref="N79:O79"/>
    <mergeCell ref="B80:F80"/>
    <mergeCell ref="L80:M80"/>
    <mergeCell ref="N80:O80"/>
    <mergeCell ref="B81:F81"/>
    <mergeCell ref="L81:M81"/>
    <mergeCell ref="N81:O81"/>
    <mergeCell ref="B76:F76"/>
    <mergeCell ref="L76:M76"/>
    <mergeCell ref="N76:O76"/>
    <mergeCell ref="B77:F77"/>
    <mergeCell ref="L77:M77"/>
    <mergeCell ref="N77:O77"/>
    <mergeCell ref="B78:F78"/>
    <mergeCell ref="L78:M78"/>
    <mergeCell ref="N78:O78"/>
    <mergeCell ref="B73:F73"/>
    <mergeCell ref="L73:M73"/>
    <mergeCell ref="N73:O73"/>
    <mergeCell ref="B74:F74"/>
    <mergeCell ref="L74:M74"/>
    <mergeCell ref="N74:O74"/>
    <mergeCell ref="B75:F75"/>
    <mergeCell ref="L75:M75"/>
    <mergeCell ref="N75:O75"/>
    <mergeCell ref="B70:F70"/>
    <mergeCell ref="L70:M70"/>
    <mergeCell ref="N70:O70"/>
    <mergeCell ref="B71:F71"/>
    <mergeCell ref="L71:M71"/>
    <mergeCell ref="N71:O71"/>
    <mergeCell ref="B72:F72"/>
    <mergeCell ref="L72:M72"/>
    <mergeCell ref="N72:O72"/>
    <mergeCell ref="B67:F67"/>
    <mergeCell ref="L67:M67"/>
    <mergeCell ref="N67:O67"/>
    <mergeCell ref="B68:F68"/>
    <mergeCell ref="L68:M68"/>
    <mergeCell ref="N68:O68"/>
    <mergeCell ref="B69:F69"/>
    <mergeCell ref="L69:M69"/>
    <mergeCell ref="N69:O69"/>
    <mergeCell ref="B64:F64"/>
    <mergeCell ref="L64:M64"/>
    <mergeCell ref="N64:O64"/>
    <mergeCell ref="B65:F65"/>
    <mergeCell ref="L65:M65"/>
    <mergeCell ref="N65:O65"/>
    <mergeCell ref="B66:F66"/>
    <mergeCell ref="L66:M66"/>
    <mergeCell ref="N66:O66"/>
    <mergeCell ref="B61:F61"/>
    <mergeCell ref="L61:M61"/>
    <mergeCell ref="N61:O61"/>
    <mergeCell ref="B62:F62"/>
    <mergeCell ref="L62:M62"/>
    <mergeCell ref="N62:O62"/>
    <mergeCell ref="B63:F63"/>
    <mergeCell ref="L63:M63"/>
    <mergeCell ref="N63:O63"/>
    <mergeCell ref="B58:F58"/>
    <mergeCell ref="L58:M58"/>
    <mergeCell ref="N58:O58"/>
    <mergeCell ref="B59:F59"/>
    <mergeCell ref="L59:M59"/>
    <mergeCell ref="N59:O59"/>
    <mergeCell ref="B60:F60"/>
    <mergeCell ref="L60:M60"/>
    <mergeCell ref="N60:O60"/>
    <mergeCell ref="B55:F55"/>
    <mergeCell ref="L55:M55"/>
    <mergeCell ref="N55:O55"/>
    <mergeCell ref="B56:F56"/>
    <mergeCell ref="L56:M56"/>
    <mergeCell ref="N56:O56"/>
    <mergeCell ref="B57:F57"/>
    <mergeCell ref="L57:M57"/>
    <mergeCell ref="N57:O57"/>
    <mergeCell ref="B52:F52"/>
    <mergeCell ref="L52:M52"/>
    <mergeCell ref="N52:O52"/>
    <mergeCell ref="B53:F53"/>
    <mergeCell ref="L53:M53"/>
    <mergeCell ref="N53:O53"/>
    <mergeCell ref="B54:F54"/>
    <mergeCell ref="L54:M54"/>
    <mergeCell ref="N54:O54"/>
    <mergeCell ref="B49:F49"/>
    <mergeCell ref="L49:M49"/>
    <mergeCell ref="N49:O49"/>
    <mergeCell ref="B50:F50"/>
    <mergeCell ref="L50:M50"/>
    <mergeCell ref="N50:O50"/>
    <mergeCell ref="B51:F51"/>
    <mergeCell ref="L51:M51"/>
    <mergeCell ref="N51:O51"/>
    <mergeCell ref="N45:O45"/>
    <mergeCell ref="B46:F46"/>
    <mergeCell ref="L46:M46"/>
    <mergeCell ref="N46:O46"/>
    <mergeCell ref="B47:F47"/>
    <mergeCell ref="L47:M47"/>
    <mergeCell ref="N47:O47"/>
    <mergeCell ref="B48:F48"/>
    <mergeCell ref="L48:M48"/>
    <mergeCell ref="N48:O48"/>
    <mergeCell ref="B45:F45"/>
    <mergeCell ref="L45:M45"/>
    <mergeCell ref="B39:F39"/>
    <mergeCell ref="L39:M39"/>
    <mergeCell ref="N39:O39"/>
    <mergeCell ref="B40:F40"/>
    <mergeCell ref="L40:M40"/>
    <mergeCell ref="N40:O40"/>
    <mergeCell ref="B41:F41"/>
    <mergeCell ref="L41:M41"/>
    <mergeCell ref="N41:O41"/>
    <mergeCell ref="B42:F42"/>
    <mergeCell ref="L42:M42"/>
    <mergeCell ref="N42:O42"/>
    <mergeCell ref="B43:F43"/>
    <mergeCell ref="L43:M43"/>
    <mergeCell ref="N43:O43"/>
    <mergeCell ref="B44:F44"/>
    <mergeCell ref="L44:M44"/>
    <mergeCell ref="N44:O44"/>
    <mergeCell ref="L38:M38"/>
    <mergeCell ref="N38:O38"/>
    <mergeCell ref="L36:M36"/>
    <mergeCell ref="N36:O36"/>
    <mergeCell ref="L37:M37"/>
    <mergeCell ref="N37:O37"/>
    <mergeCell ref="B37:F37"/>
    <mergeCell ref="B36:F36"/>
    <mergeCell ref="B38:F38"/>
    <mergeCell ref="L31:M31"/>
    <mergeCell ref="N31:O31"/>
    <mergeCell ref="B31:F31"/>
    <mergeCell ref="L34:M34"/>
    <mergeCell ref="N34:O34"/>
    <mergeCell ref="L35:M35"/>
    <mergeCell ref="N35:O35"/>
    <mergeCell ref="L32:M32"/>
    <mergeCell ref="N32:O32"/>
    <mergeCell ref="L33:M33"/>
    <mergeCell ref="N33:O33"/>
    <mergeCell ref="B33:F33"/>
    <mergeCell ref="B35:F35"/>
    <mergeCell ref="B32:F32"/>
    <mergeCell ref="B34:F34"/>
    <mergeCell ref="B29:F29"/>
    <mergeCell ref="L29:M29"/>
    <mergeCell ref="N29:O29"/>
    <mergeCell ref="B30:F30"/>
    <mergeCell ref="L30:M30"/>
    <mergeCell ref="N30:O30"/>
    <mergeCell ref="B27:F27"/>
    <mergeCell ref="L27:M27"/>
    <mergeCell ref="N27:O27"/>
    <mergeCell ref="B28:F28"/>
    <mergeCell ref="L28:M28"/>
    <mergeCell ref="N28:O28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N4:O4"/>
    <mergeCell ref="N5:O5"/>
    <mergeCell ref="N6:O6"/>
    <mergeCell ref="N7:O7"/>
    <mergeCell ref="L6:M6"/>
    <mergeCell ref="N8:O8"/>
    <mergeCell ref="L7:M7"/>
    <mergeCell ref="L5:M5"/>
    <mergeCell ref="N2:O2"/>
    <mergeCell ref="N3:O3"/>
    <mergeCell ref="L3:M3"/>
    <mergeCell ref="L4:M4"/>
    <mergeCell ref="L1:M1"/>
    <mergeCell ref="N1:O1"/>
    <mergeCell ref="B1:F1"/>
    <mergeCell ref="N9:O9"/>
    <mergeCell ref="N10:O10"/>
    <mergeCell ref="L9:M9"/>
    <mergeCell ref="L8:M8"/>
    <mergeCell ref="L10:M10"/>
    <mergeCell ref="L15:M15"/>
    <mergeCell ref="N11:O11"/>
    <mergeCell ref="N12:O12"/>
    <mergeCell ref="N13:O13"/>
    <mergeCell ref="N14:O14"/>
    <mergeCell ref="N15:O15"/>
    <mergeCell ref="L11:M11"/>
    <mergeCell ref="L12:M12"/>
    <mergeCell ref="L13:M13"/>
    <mergeCell ref="B11:F11"/>
    <mergeCell ref="B12:F12"/>
    <mergeCell ref="B13:F13"/>
    <mergeCell ref="B14:F14"/>
    <mergeCell ref="B15:F15"/>
    <mergeCell ref="L14:M14"/>
    <mergeCell ref="L2:M2"/>
    <mergeCell ref="B22:F22"/>
    <mergeCell ref="L22:M22"/>
    <mergeCell ref="N22:O22"/>
    <mergeCell ref="B25:F25"/>
    <mergeCell ref="L25:M25"/>
    <mergeCell ref="N25:O25"/>
    <mergeCell ref="B26:F26"/>
    <mergeCell ref="L26:M26"/>
    <mergeCell ref="N26:O26"/>
    <mergeCell ref="B23:F23"/>
    <mergeCell ref="L23:M23"/>
    <mergeCell ref="N23:O23"/>
    <mergeCell ref="B24:F24"/>
    <mergeCell ref="L24:M24"/>
    <mergeCell ref="N24:O24"/>
    <mergeCell ref="B16:F16"/>
    <mergeCell ref="B17:F17"/>
    <mergeCell ref="B18:F18"/>
    <mergeCell ref="B19:F19"/>
    <mergeCell ref="L21:M21"/>
    <mergeCell ref="N21:O21"/>
    <mergeCell ref="L17:M17"/>
    <mergeCell ref="N17:O17"/>
    <mergeCell ref="L18:M18"/>
    <mergeCell ref="N18:O18"/>
    <mergeCell ref="L19:M19"/>
    <mergeCell ref="L20:M20"/>
    <mergeCell ref="N20:O20"/>
    <mergeCell ref="B20:F20"/>
    <mergeCell ref="B21:F21"/>
    <mergeCell ref="N19:O19"/>
    <mergeCell ref="N16:O16"/>
    <mergeCell ref="L16:M16"/>
  </mergeCells>
  <phoneticPr fontId="5" type="noConversion"/>
  <printOptions horizontalCentered="1" verticalCentered="1"/>
  <pageMargins left="0" right="0" top="0" bottom="0" header="0" footer="0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TOTAL 3 SET </vt:lpstr>
      <vt:lpstr>'TOTAL 3 SET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Berfu OCAL</dc:creator>
  <cp:lastModifiedBy>ramzi hoballah</cp:lastModifiedBy>
  <cp:lastPrinted>2023-11-10T08:00:15Z</cp:lastPrinted>
  <dcterms:created xsi:type="dcterms:W3CDTF">2015-06-05T18:19:34Z</dcterms:created>
  <dcterms:modified xsi:type="dcterms:W3CDTF">2025-12-16T10:29:13Z</dcterms:modified>
</cp:coreProperties>
</file>